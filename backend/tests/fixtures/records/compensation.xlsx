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Data" sheetId="1" state="visible" r:id="rId3"/>
    <sheet name="Assumptions" sheetId="2" state="visible" r:id="rId4"/>
    <sheet name="Field_Mapping" sheetId="3" state="visible" r:id="rId5"/>
  </sheets>
  <definedNames>
    <definedName function="false" hidden="true" localSheetId="0" name="_xlnm._FilterDatabase" vbProcedure="false">SourceData!$A$1:$AY$21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<sst xmlns="http://schemas.openxmlformats.org/spreadsheetml/2006/main" count="736" uniqueCount="333">
  <si>
    <t xml:space="preserve">employee_id</t>
  </si>
  <si>
    <t xml:space="preserve">salutation</t>
  </si>
  <si>
    <t xml:space="preserve">first_name</t>
  </si>
  <si>
    <t xml:space="preserve">last_name</t>
  </si>
  <si>
    <t xml:space="preserve">personal_email</t>
  </si>
  <si>
    <t xml:space="preserve">address_line1</t>
  </si>
  <si>
    <t xml:space="preserve">address_line2</t>
  </si>
  <si>
    <t xml:space="preserve">city</t>
  </si>
  <si>
    <t xml:space="preserve">state</t>
  </si>
  <si>
    <t xml:space="preserve">pincode</t>
  </si>
  <si>
    <t xml:space="preserve">letter_reference_no</t>
  </si>
  <si>
    <t xml:space="preserve">offer_date</t>
  </si>
  <si>
    <t xml:space="preserve">joining_date</t>
  </si>
  <si>
    <t xml:space="preserve">designation</t>
  </si>
  <si>
    <t xml:space="preserve">grade_band</t>
  </si>
  <si>
    <t xml:space="preserve">department</t>
  </si>
  <si>
    <t xml:space="preserve">work_location</t>
  </si>
  <si>
    <t xml:space="preserve">employment_type</t>
  </si>
  <si>
    <t xml:space="preserve">reporting_manager</t>
  </si>
  <si>
    <t xml:space="preserve">probation_months</t>
  </si>
  <si>
    <t xml:space="preserve">notice_period_days</t>
  </si>
  <si>
    <t xml:space="preserve">currency</t>
  </si>
  <si>
    <t xml:space="preserve">annual_ctc</t>
  </si>
  <si>
    <t xml:space="preserve">variable_pay_percent</t>
  </si>
  <si>
    <t xml:space="preserve">variable_pay_amount</t>
  </si>
  <si>
    <t xml:space="preserve">total_fixed_pay</t>
  </si>
  <si>
    <t xml:space="preserve">basic_salary</t>
  </si>
  <si>
    <t xml:space="preserve">hra</t>
  </si>
  <si>
    <t xml:space="preserve">conveyance_allowance</t>
  </si>
  <si>
    <t xml:space="preserve">medical_allowance</t>
  </si>
  <si>
    <t xml:space="preserve">lta</t>
  </si>
  <si>
    <t xml:space="preserve">special_allowance</t>
  </si>
  <si>
    <t xml:space="preserve">pf_employer</t>
  </si>
  <si>
    <t xml:space="preserve">gratuity</t>
  </si>
  <si>
    <t xml:space="preserve">monthly_gross</t>
  </si>
  <si>
    <t xml:space="preserve">joining_bonus</t>
  </si>
  <si>
    <t xml:space="preserve">joining_bonus_clawback_months</t>
  </si>
  <si>
    <t xml:space="preserve">retention_bonus</t>
  </si>
  <si>
    <t xml:space="preserve">retention_bonus_period_months</t>
  </si>
  <si>
    <t xml:space="preserve">esop_units</t>
  </si>
  <si>
    <t xml:space="preserve">esop_vesting_years</t>
  </si>
  <si>
    <t xml:space="preserve">relocation_applicable</t>
  </si>
  <si>
    <t xml:space="preserve">relocation_amount</t>
  </si>
  <si>
    <t xml:space="preserve">shift_allowance_applicable</t>
  </si>
  <si>
    <t xml:space="preserve">shift_allowance_monthly</t>
  </si>
  <si>
    <t xml:space="preserve">insurance_plan</t>
  </si>
  <si>
    <t xml:space="preserve">insurance_sum_insured</t>
  </si>
  <si>
    <t xml:space="preserve">hr_spoc_name</t>
  </si>
  <si>
    <t xml:space="preserve">hr_spoc_email</t>
  </si>
  <si>
    <t xml:space="preserve">signatory_name</t>
  </si>
  <si>
    <t xml:space="preserve">signatory_designation</t>
  </si>
  <si>
    <t xml:space="preserve">IN10001</t>
  </si>
  <si>
    <t xml:space="preserve">Mr.</t>
  </si>
  <si>
    <t xml:space="preserve">Rohan</t>
  </si>
  <si>
    <t xml:space="preserve">Deshmukh</t>
  </si>
  <si>
    <t xml:space="preserve">rohan.deshmukh@example.com</t>
  </si>
  <si>
    <t xml:space="preserve">Flat 102, Shreeji Residency</t>
  </si>
  <si>
    <t xml:space="preserve">Near City Centre Mall</t>
  </si>
  <si>
    <t xml:space="preserve">Pune</t>
  </si>
  <si>
    <t xml:space="preserve">Maharashtra</t>
  </si>
  <si>
    <t xml:space="preserve">HR/COMP/2026/1002</t>
  </si>
  <si>
    <t xml:space="preserve">10-Aug-2026</t>
  </si>
  <si>
    <t xml:space="preserve">01-Sep-2026</t>
  </si>
  <si>
    <t xml:space="preserve">Software Engineer</t>
  </si>
  <si>
    <t xml:space="preserve">Band 6</t>
  </si>
  <si>
    <t xml:space="preserve">Application Development</t>
  </si>
  <si>
    <t xml:space="preserve">Permanent</t>
  </si>
  <si>
    <t xml:space="preserve">Anita Kulkarni</t>
  </si>
  <si>
    <t xml:space="preserve">INR</t>
  </si>
  <si>
    <t xml:space="preserve">No</t>
  </si>
  <si>
    <t xml:space="preserve">Floater Family</t>
  </si>
  <si>
    <t xml:space="preserve">Shweta Kadam</t>
  </si>
  <si>
    <t xml:space="preserve">hr.onboarding@example.com</t>
  </si>
  <si>
    <t xml:space="preserve">Yeljale Shubham</t>
  </si>
  <si>
    <t xml:space="preserve">Head - Human Resources</t>
  </si>
  <si>
    <t xml:space="preserve">IN10002</t>
  </si>
  <si>
    <t xml:space="preserve">Ms.</t>
  </si>
  <si>
    <t xml:space="preserve">Priya</t>
  </si>
  <si>
    <t xml:space="preserve">Nair</t>
  </si>
  <si>
    <t xml:space="preserve">priya.nair@example.com</t>
  </si>
  <si>
    <t xml:space="preserve">Flat 103, Shreeji Residency</t>
  </si>
  <si>
    <t xml:space="preserve">Bengaluru</t>
  </si>
  <si>
    <t xml:space="preserve">Karnataka</t>
  </si>
  <si>
    <t xml:space="preserve">HR/COMP/2026/1003</t>
  </si>
  <si>
    <t xml:space="preserve">Senior Data Scientist</t>
  </si>
  <si>
    <t xml:space="preserve">Band 7</t>
  </si>
  <si>
    <t xml:space="preserve">Data &amp; AI</t>
  </si>
  <si>
    <t xml:space="preserve">Vikram Rao</t>
  </si>
  <si>
    <t xml:space="preserve">Yes</t>
  </si>
  <si>
    <t xml:space="preserve">IN10003</t>
  </si>
  <si>
    <t xml:space="preserve">Aditya</t>
  </si>
  <si>
    <t xml:space="preserve">Sharma</t>
  </si>
  <si>
    <t xml:space="preserve">aditya.sharma@example.com</t>
  </si>
  <si>
    <t xml:space="preserve">Flat 104, Shreeji Residency</t>
  </si>
  <si>
    <t xml:space="preserve">Gurugram</t>
  </si>
  <si>
    <t xml:space="preserve">Haryana</t>
  </si>
  <si>
    <t xml:space="preserve">HR/COMP/2026/1004</t>
  </si>
  <si>
    <t xml:space="preserve">Associate Consultant</t>
  </si>
  <si>
    <t xml:space="preserve">Band 5</t>
  </si>
  <si>
    <t xml:space="preserve">Consulting</t>
  </si>
  <si>
    <t xml:space="preserve">Neha Bansal</t>
  </si>
  <si>
    <t xml:space="preserve">Self Only</t>
  </si>
  <si>
    <t xml:space="preserve">IN10004</t>
  </si>
  <si>
    <t xml:space="preserve">Sneha</t>
  </si>
  <si>
    <t xml:space="preserve">Iyer</t>
  </si>
  <si>
    <t xml:space="preserve">sneha.iyer@example.com</t>
  </si>
  <si>
    <t xml:space="preserve">Flat 105, Shreeji Residency</t>
  </si>
  <si>
    <t xml:space="preserve">Chennai</t>
  </si>
  <si>
    <t xml:space="preserve">Tamil Nadu</t>
  </si>
  <si>
    <t xml:space="preserve">HR/COMP/2026/1005</t>
  </si>
  <si>
    <t xml:space="preserve">Cloud Architect</t>
  </si>
  <si>
    <t xml:space="preserve">Band 8</t>
  </si>
  <si>
    <t xml:space="preserve">Hybrid Cloud</t>
  </si>
  <si>
    <t xml:space="preserve">Rajesh Menon</t>
  </si>
  <si>
    <t xml:space="preserve">IN10005</t>
  </si>
  <si>
    <t xml:space="preserve">Karan</t>
  </si>
  <si>
    <t xml:space="preserve">Malhotra</t>
  </si>
  <si>
    <t xml:space="preserve">karan.malhotra@example.com</t>
  </si>
  <si>
    <t xml:space="preserve">Flat 106, Shreeji Residency</t>
  </si>
  <si>
    <t xml:space="preserve">Noida</t>
  </si>
  <si>
    <t xml:space="preserve">Uttar Pradesh</t>
  </si>
  <si>
    <t xml:space="preserve">HR/COMP/2026/1006</t>
  </si>
  <si>
    <t xml:space="preserve">QA Analyst</t>
  </si>
  <si>
    <t xml:space="preserve">Quality Engineering</t>
  </si>
  <si>
    <t xml:space="preserve">Contract</t>
  </si>
  <si>
    <t xml:space="preserve">Sunita Verma</t>
  </si>
  <si>
    <t xml:space="preserve">IN10006</t>
  </si>
  <si>
    <t xml:space="preserve">Ananya</t>
  </si>
  <si>
    <t xml:space="preserve">Ghosh</t>
  </si>
  <si>
    <t xml:space="preserve">ananya.ghosh@example.com</t>
  </si>
  <si>
    <t xml:space="preserve">Flat 107, Shreeji Residency</t>
  </si>
  <si>
    <t xml:space="preserve">Hyderabad</t>
  </si>
  <si>
    <t xml:space="preserve">Telangana</t>
  </si>
  <si>
    <t xml:space="preserve">HR/COMP/2026/1007</t>
  </si>
  <si>
    <t xml:space="preserve">Product Manager</t>
  </si>
  <si>
    <t xml:space="preserve">Product</t>
  </si>
  <si>
    <t xml:space="preserve">Mohit Sinha</t>
  </si>
  <si>
    <t xml:space="preserve">IN10007</t>
  </si>
  <si>
    <t xml:space="preserve">Vivek</t>
  </si>
  <si>
    <t xml:space="preserve">Patil</t>
  </si>
  <si>
    <t xml:space="preserve">vivek.patil@example.com</t>
  </si>
  <si>
    <t xml:space="preserve">Flat 108, Shreeji Residency</t>
  </si>
  <si>
    <t xml:space="preserve">HR/COMP/2026/1008</t>
  </si>
  <si>
    <t xml:space="preserve">DevOps Engineer</t>
  </si>
  <si>
    <t xml:space="preserve">Platform Engineering</t>
  </si>
  <si>
    <t xml:space="preserve">IN10008</t>
  </si>
  <si>
    <t xml:space="preserve">Meera</t>
  </si>
  <si>
    <t xml:space="preserve">Krishnan</t>
  </si>
  <si>
    <t xml:space="preserve">meera.krishnan@example.com</t>
  </si>
  <si>
    <t xml:space="preserve">Flat 109, Shreeji Residency</t>
  </si>
  <si>
    <t xml:space="preserve">HR/COMP/2026/1009</t>
  </si>
  <si>
    <t xml:space="preserve">HR Business Partner</t>
  </si>
  <si>
    <t xml:space="preserve">Human Resources</t>
  </si>
  <si>
    <t xml:space="preserve">Deepa Shetty</t>
  </si>
  <si>
    <t xml:space="preserve">IN10009</t>
  </si>
  <si>
    <t xml:space="preserve">Sameer</t>
  </si>
  <si>
    <t xml:space="preserve">Joshi</t>
  </si>
  <si>
    <t xml:space="preserve">sameer.joshi@example.com</t>
  </si>
  <si>
    <t xml:space="preserve">Flat 110, Shreeji Residency</t>
  </si>
  <si>
    <t xml:space="preserve">HR/COMP/2026/1010</t>
  </si>
  <si>
    <t xml:space="preserve">Intern - Engineering</t>
  </si>
  <si>
    <t xml:space="preserve">Band 3</t>
  </si>
  <si>
    <t xml:space="preserve">Internship</t>
  </si>
  <si>
    <t xml:space="preserve">IN10010</t>
  </si>
  <si>
    <t xml:space="preserve">Divya</t>
  </si>
  <si>
    <t xml:space="preserve">Reddy</t>
  </si>
  <si>
    <t xml:space="preserve">divya.reddy@example.com</t>
  </si>
  <si>
    <t xml:space="preserve">Flat 111, Shreeji Residency</t>
  </si>
  <si>
    <t xml:space="preserve">HR/COMP/2026/1011</t>
  </si>
  <si>
    <t xml:space="preserve">Business Analyst</t>
  </si>
  <si>
    <t xml:space="preserve">IN10011</t>
  </si>
  <si>
    <t xml:space="preserve">Arjun</t>
  </si>
  <si>
    <t xml:space="preserve">Mehta</t>
  </si>
  <si>
    <t xml:space="preserve">arjun.mehta@example.com</t>
  </si>
  <si>
    <t xml:space="preserve">Flat 112, Shreeji Residency</t>
  </si>
  <si>
    <t xml:space="preserve">HR/COMP/2026/1012</t>
  </si>
  <si>
    <t xml:space="preserve">Engineering Manager</t>
  </si>
  <si>
    <t xml:space="preserve">Band 9</t>
  </si>
  <si>
    <t xml:space="preserve">IN10012</t>
  </si>
  <si>
    <t xml:space="preserve">Fatima</t>
  </si>
  <si>
    <t xml:space="preserve">Sheikh</t>
  </si>
  <si>
    <t xml:space="preserve">fatima.sheikh@example.com</t>
  </si>
  <si>
    <t xml:space="preserve">Flat 113, Shreeji Residency</t>
  </si>
  <si>
    <t xml:space="preserve">Mumbai</t>
  </si>
  <si>
    <t xml:space="preserve">HR/COMP/2026/1013</t>
  </si>
  <si>
    <t xml:space="preserve">UX Designer</t>
  </si>
  <si>
    <t xml:space="preserve">Design</t>
  </si>
  <si>
    <t xml:space="preserve">IN10013</t>
  </si>
  <si>
    <t xml:space="preserve">Nikhil</t>
  </si>
  <si>
    <t xml:space="preserve">Bhat</t>
  </si>
  <si>
    <t xml:space="preserve">nikhil.bhat@example.com</t>
  </si>
  <si>
    <t xml:space="preserve">Flat 114, Shreeji Residency</t>
  </si>
  <si>
    <t xml:space="preserve">HR/COMP/2026/1014</t>
  </si>
  <si>
    <t xml:space="preserve">Support Engineer</t>
  </si>
  <si>
    <t xml:space="preserve">Band 4</t>
  </si>
  <si>
    <t xml:space="preserve">Managed Services</t>
  </si>
  <si>
    <t xml:space="preserve">IN10014</t>
  </si>
  <si>
    <t xml:space="preserve">Ritika</t>
  </si>
  <si>
    <t xml:space="preserve">Agarwal</t>
  </si>
  <si>
    <t xml:space="preserve">ritika.agarwal@example.com</t>
  </si>
  <si>
    <t xml:space="preserve">Flat 115, Shreeji Residency</t>
  </si>
  <si>
    <t xml:space="preserve">HR/COMP/2026/1015</t>
  </si>
  <si>
    <t xml:space="preserve">Technical Lead</t>
  </si>
  <si>
    <t xml:space="preserve">IN10015</t>
  </si>
  <si>
    <t xml:space="preserve">Harsh</t>
  </si>
  <si>
    <t xml:space="preserve">Chauhan</t>
  </si>
  <si>
    <t xml:space="preserve">harsh.chauhan@example.com</t>
  </si>
  <si>
    <t xml:space="preserve">Flat 116, Shreeji Residency</t>
  </si>
  <si>
    <t xml:space="preserve">HR/COMP/2026/1016</t>
  </si>
  <si>
    <t xml:space="preserve">Security Analyst</t>
  </si>
  <si>
    <t xml:space="preserve">Cybersecurity</t>
  </si>
  <si>
    <t xml:space="preserve">IN10016</t>
  </si>
  <si>
    <t xml:space="preserve">Pooja</t>
  </si>
  <si>
    <t xml:space="preserve">Rane</t>
  </si>
  <si>
    <t xml:space="preserve">pooja.rane@example.com</t>
  </si>
  <si>
    <t xml:space="preserve">Flat 117, Shreeji Residency</t>
  </si>
  <si>
    <t xml:space="preserve">HR/COMP/2026/1017</t>
  </si>
  <si>
    <t xml:space="preserve">Finance Executive</t>
  </si>
  <si>
    <t xml:space="preserve">Finance</t>
  </si>
  <si>
    <t xml:space="preserve">IN10017</t>
  </si>
  <si>
    <t xml:space="preserve">Imran</t>
  </si>
  <si>
    <t xml:space="preserve">Qureshi</t>
  </si>
  <si>
    <t xml:space="preserve">imran.qureshi@example.com</t>
  </si>
  <si>
    <t xml:space="preserve">Flat 118, Shreeji Residency</t>
  </si>
  <si>
    <t xml:space="preserve">HR/COMP/2026/1018</t>
  </si>
  <si>
    <t xml:space="preserve">Solution Architect</t>
  </si>
  <si>
    <t xml:space="preserve">IN10018</t>
  </si>
  <si>
    <t xml:space="preserve">Tanvi</t>
  </si>
  <si>
    <t xml:space="preserve">Desai</t>
  </si>
  <si>
    <t xml:space="preserve">tanvi.desai@example.com</t>
  </si>
  <si>
    <t xml:space="preserve">Flat 119, Shreeji Residency</t>
  </si>
  <si>
    <t xml:space="preserve">HR/COMP/2026/1019</t>
  </si>
  <si>
    <t xml:space="preserve">Data Engineer</t>
  </si>
  <si>
    <t xml:space="preserve">IN10019</t>
  </si>
  <si>
    <t xml:space="preserve">Gaurav</t>
  </si>
  <si>
    <t xml:space="preserve">Singh</t>
  </si>
  <si>
    <t xml:space="preserve">gaurav.singh@example.com</t>
  </si>
  <si>
    <t xml:space="preserve">Flat 120, Shreeji Residency</t>
  </si>
  <si>
    <t xml:space="preserve">HR/COMP/2026/1020</t>
  </si>
  <si>
    <t xml:space="preserve">Delivery Manager</t>
  </si>
  <si>
    <t xml:space="preserve">IN10020</t>
  </si>
  <si>
    <t xml:space="preserve">Neelam</t>
  </si>
  <si>
    <t xml:space="preserve">Yadav</t>
  </si>
  <si>
    <t xml:space="preserve">neelam.yadav@example.com</t>
  </si>
  <si>
    <t xml:space="preserve">Flat 121, Shreeji Residency</t>
  </si>
  <si>
    <t xml:space="preserve">HR/COMP/2026/1021</t>
  </si>
  <si>
    <t xml:space="preserve">Associate Engineer</t>
  </si>
  <si>
    <t xml:space="preserve">Salary structure assumptions - edit here, every SourceData row recalculates</t>
  </si>
  <si>
    <t xml:space="preserve">Parameter</t>
  </si>
  <si>
    <t xml:space="preserve">Value</t>
  </si>
  <si>
    <t xml:space="preserve">Basis / source</t>
  </si>
  <si>
    <t xml:space="preserve">Basic as % of Total Fixed Pay</t>
  </si>
  <si>
    <t xml:space="preserve">User-supplied policy input</t>
  </si>
  <si>
    <t xml:space="preserve">HRA as % of Basic</t>
  </si>
  <si>
    <t xml:space="preserve">Conveyance allowance (annual, flat)</t>
  </si>
  <si>
    <t xml:space="preserve">Medical allowance (annual, flat)</t>
  </si>
  <si>
    <t xml:space="preserve">LTA as % of Basic</t>
  </si>
  <si>
    <t xml:space="preserve">Employer PF as % of Basic</t>
  </si>
  <si>
    <t xml:space="preserve">Statutory rate, EPF Act 1952</t>
  </si>
  <si>
    <t xml:space="preserve">Gratuity as % of Basic</t>
  </si>
  <si>
    <t xml:space="preserve">15/26 of a month's basic per year, standard accrual</t>
  </si>
  <si>
    <t xml:space="preserve">Legend</t>
  </si>
  <si>
    <t xml:space="preserve">Blue text</t>
  </si>
  <si>
    <t xml:space="preserve">You type it. Manual input column in SourceData.</t>
  </si>
  <si>
    <t xml:space="preserve">Black text</t>
  </si>
  <si>
    <t xml:space="preserve">Formula. Do not overwrite - it recalculates from CTC and the assumptions above.</t>
  </si>
  <si>
    <t xml:space="preserve">Yellow fill</t>
  </si>
  <si>
    <t xml:space="preserve">Policy assumption. Change once here, applies to every joiner.</t>
  </si>
  <si>
    <t xml:space="preserve">Placeholder in template</t>
  </si>
  <si>
    <t xml:space="preserve">Colour in template</t>
  </si>
  <si>
    <t xml:space="preserve">Source column</t>
  </si>
  <si>
    <t xml:space="preserve">Rule / condition</t>
  </si>
  <si>
    <t xml:space="preserve">&lt;salutation&gt;</t>
  </si>
  <si>
    <t xml:space="preserve">BLUE</t>
  </si>
  <si>
    <t xml:space="preserve">Direct substitution</t>
  </si>
  <si>
    <t xml:space="preserve">&lt;first_name&gt;</t>
  </si>
  <si>
    <t xml:space="preserve">&lt;last_name&gt;</t>
  </si>
  <si>
    <t xml:space="preserve">&lt;address_line1&gt;</t>
  </si>
  <si>
    <t xml:space="preserve">&lt;address_line2&gt;</t>
  </si>
  <si>
    <t xml:space="preserve">Suppress the line if blank</t>
  </si>
  <si>
    <t xml:space="preserve">&lt;city&gt;</t>
  </si>
  <si>
    <t xml:space="preserve">&lt;state&gt;</t>
  </si>
  <si>
    <t xml:space="preserve">&lt;pincode&gt;</t>
  </si>
  <si>
    <t xml:space="preserve">&lt;letter_reference_no&gt;</t>
  </si>
  <si>
    <t xml:space="preserve">&lt;offer_date&gt;</t>
  </si>
  <si>
    <t xml:space="preserve">Format dd-MMM-yyyy</t>
  </si>
  <si>
    <t xml:space="preserve">&lt;joining_date&gt;</t>
  </si>
  <si>
    <t xml:space="preserve">&lt;designation&gt;</t>
  </si>
  <si>
    <t xml:space="preserve">&lt;grade_band&gt;</t>
  </si>
  <si>
    <t xml:space="preserve">&lt;department&gt;</t>
  </si>
  <si>
    <t xml:space="preserve">&lt;work_location&gt;</t>
  </si>
  <si>
    <t xml:space="preserve">&lt;employment_type&gt;</t>
  </si>
  <si>
    <t xml:space="preserve">&lt;reporting_manager&gt;</t>
  </si>
  <si>
    <t xml:space="preserve">&lt;notice_period_days&gt;</t>
  </si>
  <si>
    <t xml:space="preserve">&lt;annual_ctc&gt;</t>
  </si>
  <si>
    <t xml:space="preserve">Format as INR, thousands separator</t>
  </si>
  <si>
    <t xml:space="preserve">&lt;basic_salary&gt; .. &lt;gratuity&gt;</t>
  </si>
  <si>
    <t xml:space="preserve">annexure component columns</t>
  </si>
  <si>
    <t xml:space="preserve">One row per component in Annexure A</t>
  </si>
  <si>
    <t xml:space="preserve">&lt;total_fixed_pay&gt;</t>
  </si>
  <si>
    <t xml:space="preserve">Format as INR</t>
  </si>
  <si>
    <t xml:space="preserve">&lt;monthly_gross&gt;</t>
  </si>
  <si>
    <t xml:space="preserve">&lt;insurance_plan&gt;</t>
  </si>
  <si>
    <t xml:space="preserve">&lt;insurance_sum_insured&gt;</t>
  </si>
  <si>
    <t xml:space="preserve">&lt;hr_spoc_name&gt; / &lt;hr_spoc_email&gt;</t>
  </si>
  <si>
    <t xml:space="preserve">hr_spoc_name, hr_spoc_email</t>
  </si>
  <si>
    <t xml:space="preserve">&lt;signatory_name&gt; / &lt;signatory_designation&gt;</t>
  </si>
  <si>
    <t xml:space="preserve">signatory_name, signatory_designation</t>
  </si>
  <si>
    <t xml:space="preserve">[[PROBATION_CLAUSE]]</t>
  </si>
  <si>
    <t xml:space="preserve">RED</t>
  </si>
  <si>
    <t xml:space="preserve">employment_type, probation_months</t>
  </si>
  <si>
    <t xml:space="preserve">Permanent + months&gt;0 -&gt; probation text; months=0 -&gt; no-probation text; Contract/Internship -&gt; fixed-term text</t>
  </si>
  <si>
    <t xml:space="preserve">[[VARIABLE_PAY_CLAUSE]]</t>
  </si>
  <si>
    <t xml:space="preserve">variable_pay_percent, variable_pay_amount</t>
  </si>
  <si>
    <t xml:space="preserve">percent&gt;0 -&gt; variable pay paragraph; else -&gt; 'no variable component' line</t>
  </si>
  <si>
    <t xml:space="preserve">[[JOINING_BONUS_CLAUSE]]</t>
  </si>
  <si>
    <t xml:space="preserve">joining_bonus, joining_bonus_clawback_months</t>
  </si>
  <si>
    <t xml:space="preserve">Include only if joining_bonus&gt;0; otherwise drop the whole paragraph</t>
  </si>
  <si>
    <t xml:space="preserve">[[RETENTION_BONUS_CLAUSE]]</t>
  </si>
  <si>
    <t xml:space="preserve">retention_bonus, retention_bonus_period_months</t>
  </si>
  <si>
    <t xml:space="preserve">Include only if retention_bonus&gt;0</t>
  </si>
  <si>
    <t xml:space="preserve">[[ESOP_CLAUSE]]</t>
  </si>
  <si>
    <t xml:space="preserve">esop_units, esop_vesting_years</t>
  </si>
  <si>
    <t xml:space="preserve">Include only if esop_units&gt;0</t>
  </si>
  <si>
    <t xml:space="preserve">[[RELOCATION_CLAUSE]]</t>
  </si>
  <si>
    <t xml:space="preserve">relocation_applicable, relocation_amount</t>
  </si>
  <si>
    <t xml:space="preserve">Include only if relocation_applicable = Yes</t>
  </si>
  <si>
    <t xml:space="preserve">[[SHIFT_ALLOWANCE_CLAUSE]]</t>
  </si>
  <si>
    <t xml:space="preserve">shift_allowance_applicable, shift_allowance_monthly</t>
  </si>
  <si>
    <t xml:space="preserve">Include only if shift_allowance_applicable = Yes</t>
  </si>
  <si>
    <t xml:space="preserve">[[ANNEXURE_CONDITIONAL_ROWS]]</t>
  </si>
  <si>
    <t xml:space="preserve">joining_bonus, retention_bonus, shift_allowance_monthly</t>
  </si>
  <si>
    <t xml:space="preserve">Add the annexure row only when the amount is greater than zero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</si>
</sst>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;&quot;(₹&quot;#,##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FF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7" min="6" style="0" width="17"/>
    <col collapsed="false" customWidth="true" hidden="false" outlineLevel="0" max="10" min="8" style="0" width="12"/>
    <col collapsed="false" customWidth="true" hidden="false" outlineLevel="0" max="11" min="11" style="0" width="23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6" min="15" style="0" width="14"/>
    <col collapsed="false" customWidth="true" hidden="false" outlineLevel="0" max="17" min="17" style="0" width="17"/>
    <col collapsed="false" customWidth="true" hidden="false" outlineLevel="0" max="18" min="18" style="0" width="19"/>
    <col collapsed="false" customWidth="true" hidden="false" outlineLevel="0" max="19" min="19" style="0" width="21"/>
    <col collapsed="false" customWidth="true" hidden="false" outlineLevel="0" max="20" min="20" style="0" width="20"/>
    <col collapsed="false" customWidth="true" hidden="false" outlineLevel="0" max="21" min="21" style="0" width="22"/>
    <col collapsed="false" customWidth="true" hidden="false" outlineLevel="0" max="22" min="22" style="0" width="12"/>
    <col collapsed="false" customWidth="true" hidden="false" outlineLevel="0" max="23" min="23" style="0" width="14"/>
    <col collapsed="false" customWidth="true" hidden="false" outlineLevel="0" max="24" min="24" style="0" width="24"/>
    <col collapsed="false" customWidth="true" hidden="false" outlineLevel="0" max="25" min="25" style="0" width="23"/>
    <col collapsed="false" customWidth="true" hidden="false" outlineLevel="0" max="26" min="26" style="0" width="19"/>
    <col collapsed="false" customWidth="true" hidden="false" outlineLevel="0" max="27" min="27" style="0" width="16"/>
    <col collapsed="false" customWidth="true" hidden="false" outlineLevel="0" max="28" min="28" style="0" width="12"/>
    <col collapsed="false" customWidth="true" hidden="false" outlineLevel="0" max="29" min="29" style="0" width="24"/>
    <col collapsed="false" customWidth="true" hidden="false" outlineLevel="0" max="30" min="30" style="0" width="21"/>
    <col collapsed="false" customWidth="true" hidden="false" outlineLevel="0" max="31" min="31" style="0" width="12"/>
    <col collapsed="false" customWidth="true" hidden="false" outlineLevel="0" max="32" min="32" style="0" width="21"/>
    <col collapsed="false" customWidth="true" hidden="false" outlineLevel="0" max="33" min="33" style="0" width="15"/>
    <col collapsed="false" customWidth="true" hidden="false" outlineLevel="0" max="34" min="34" style="0" width="12"/>
    <col collapsed="false" customWidth="true" hidden="false" outlineLevel="0" max="36" min="35" style="0" width="17"/>
    <col collapsed="false" customWidth="true" hidden="false" outlineLevel="0" max="37" min="37" style="0" width="24"/>
    <col collapsed="false" customWidth="true" hidden="false" outlineLevel="0" max="38" min="38" style="0" width="19"/>
    <col collapsed="false" customWidth="true" hidden="false" outlineLevel="0" max="39" min="39" style="0" width="24"/>
    <col collapsed="false" customWidth="true" hidden="false" outlineLevel="0" max="40" min="40" style="0" width="14"/>
    <col collapsed="false" customWidth="true" hidden="false" outlineLevel="0" max="41" min="41" style="0" width="22"/>
    <col collapsed="false" customWidth="true" hidden="false" outlineLevel="0" max="42" min="42" style="0" width="24"/>
    <col collapsed="false" customWidth="true" hidden="false" outlineLevel="0" max="43" min="43" style="0" width="21"/>
    <col collapsed="false" customWidth="true" hidden="false" outlineLevel="0" max="45" min="44" style="0" width="24"/>
    <col collapsed="false" customWidth="true" hidden="false" outlineLevel="0" max="46" min="46" style="0" width="18"/>
    <col collapsed="false" customWidth="true" hidden="false" outlineLevel="0" max="47" min="47" style="0" width="24"/>
    <col collapsed="false" customWidth="true" hidden="false" outlineLevel="0" max="48" min="48" style="0" width="16"/>
    <col collapsed="false" customWidth="true" hidden="false" outlineLevel="0" max="49" min="49" style="0" width="17"/>
    <col collapsed="false" customWidth="true" hidden="false" outlineLevel="0" max="50" min="50" style="0" width="18"/>
    <col collapsed="false" customWidth="true" hidden="false" outlineLevel="0" max="51" min="51" style="0" width="2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n">
        <v>400003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58</v>
      </c>
      <c r="R2" s="3" t="s">
        <v>66</v>
      </c>
      <c r="S2" s="3" t="s">
        <v>67</v>
      </c>
      <c r="T2" s="3" t="n">
        <v>6</v>
      </c>
      <c r="U2" s="3" t="n">
        <v>60</v>
      </c>
      <c r="V2" s="3" t="s">
        <v>68</v>
      </c>
      <c r="W2" s="4" t="n">
        <v>1200000</v>
      </c>
      <c r="X2" s="5" t="n">
        <v>0.05</v>
      </c>
      <c r="Y2" s="6" t="n">
        <f aca="false">ROUND(W2*X2,0)</f>
        <v>60000</v>
      </c>
      <c r="Z2" s="6" t="n">
        <f aca="false">W2-Y2</f>
        <v>1140000</v>
      </c>
      <c r="AA2" s="6" t="n">
        <f aca="false">ROUND(Z2*Assumptions!$B$3,0)</f>
        <v>456000</v>
      </c>
      <c r="AB2" s="6" t="n">
        <f aca="false">ROUND(AA2*Assumptions!$B$4,0)</f>
        <v>228000</v>
      </c>
      <c r="AC2" s="6" t="n">
        <f aca="false">Assumptions!$B$5</f>
        <v>19200</v>
      </c>
      <c r="AD2" s="6" t="n">
        <f aca="false">Assumptions!$B$6</f>
        <v>15000</v>
      </c>
      <c r="AE2" s="6" t="n">
        <f aca="false">ROUND(AA2*Assumptions!$B$7,0)</f>
        <v>36480</v>
      </c>
      <c r="AF2" s="6" t="n">
        <f aca="false">Z2-AA2-AB2-AC2-AD2-AE2-AG2-AH2</f>
        <v>308666</v>
      </c>
      <c r="AG2" s="6" t="n">
        <f aca="false">ROUND(AA2*Assumptions!$B$8,0)</f>
        <v>54720</v>
      </c>
      <c r="AH2" s="6" t="n">
        <f aca="false">ROUND(AA2*Assumptions!$B$9,0)</f>
        <v>21934</v>
      </c>
      <c r="AI2" s="6" t="n">
        <f aca="false">ROUND((Z2-AG2-AH2)/12,0)</f>
        <v>88612</v>
      </c>
      <c r="AJ2" s="4" t="n">
        <v>100000</v>
      </c>
      <c r="AK2" s="3" t="n">
        <v>12</v>
      </c>
      <c r="AL2" s="4" t="n">
        <v>0</v>
      </c>
      <c r="AM2" s="3" t="n">
        <v>0</v>
      </c>
      <c r="AN2" s="3" t="n">
        <v>0</v>
      </c>
      <c r="AO2" s="3" t="n">
        <v>0</v>
      </c>
      <c r="AP2" s="3" t="s">
        <v>69</v>
      </c>
      <c r="AQ2" s="4" t="n">
        <v>0</v>
      </c>
      <c r="AR2" s="3" t="s">
        <v>69</v>
      </c>
      <c r="AS2" s="4" t="n">
        <v>0</v>
      </c>
      <c r="AT2" s="3" t="s">
        <v>70</v>
      </c>
      <c r="AU2" s="4" t="n">
        <v>500000</v>
      </c>
      <c r="AV2" s="3" t="s">
        <v>71</v>
      </c>
      <c r="AW2" s="3" t="s">
        <v>72</v>
      </c>
      <c r="AX2" s="3" t="s">
        <v>73</v>
      </c>
      <c r="AY2" s="3" t="s">
        <v>74</v>
      </c>
    </row>
    <row r="3" customFormat="false" ht="15" hidden="false" customHeight="false" outlineLevel="0" collapsed="false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57</v>
      </c>
      <c r="H3" s="3" t="s">
        <v>81</v>
      </c>
      <c r="I3" s="3" t="s">
        <v>82</v>
      </c>
      <c r="J3" s="3" t="n">
        <v>400004</v>
      </c>
      <c r="K3" s="3" t="s">
        <v>83</v>
      </c>
      <c r="L3" s="3" t="s">
        <v>61</v>
      </c>
      <c r="M3" s="3" t="s">
        <v>62</v>
      </c>
      <c r="N3" s="3" t="s">
        <v>84</v>
      </c>
      <c r="O3" s="3" t="s">
        <v>85</v>
      </c>
      <c r="P3" s="3" t="s">
        <v>86</v>
      </c>
      <c r="Q3" s="3" t="s">
        <v>81</v>
      </c>
      <c r="R3" s="3" t="s">
        <v>66</v>
      </c>
      <c r="S3" s="3" t="s">
        <v>87</v>
      </c>
      <c r="T3" s="3" t="n">
        <v>3</v>
      </c>
      <c r="U3" s="3" t="n">
        <v>90</v>
      </c>
      <c r="V3" s="3" t="s">
        <v>68</v>
      </c>
      <c r="W3" s="4" t="n">
        <v>2400000</v>
      </c>
      <c r="X3" s="5" t="n">
        <v>0.1</v>
      </c>
      <c r="Y3" s="6" t="n">
        <f aca="false">ROUND(W3*X3,0)</f>
        <v>240000</v>
      </c>
      <c r="Z3" s="6" t="n">
        <f aca="false">W3-Y3</f>
        <v>2160000</v>
      </c>
      <c r="AA3" s="6" t="n">
        <f aca="false">ROUND(Z3*Assumptions!$B$3,0)</f>
        <v>864000</v>
      </c>
      <c r="AB3" s="6" t="n">
        <f aca="false">ROUND(AA3*Assumptions!$B$4,0)</f>
        <v>432000</v>
      </c>
      <c r="AC3" s="6" t="n">
        <f aca="false">Assumptions!$B$5</f>
        <v>19200</v>
      </c>
      <c r="AD3" s="6" t="n">
        <f aca="false">Assumptions!$B$6</f>
        <v>15000</v>
      </c>
      <c r="AE3" s="6" t="n">
        <f aca="false">ROUND(AA3*Assumptions!$B$7,0)</f>
        <v>69120</v>
      </c>
      <c r="AF3" s="6" t="n">
        <f aca="false">Z3-AA3-AB3-AC3-AD3-AE3-AG3-AH3</f>
        <v>615442</v>
      </c>
      <c r="AG3" s="6" t="n">
        <f aca="false">ROUND(AA3*Assumptions!$B$8,0)</f>
        <v>103680</v>
      </c>
      <c r="AH3" s="6" t="n">
        <f aca="false">ROUND(AA3*Assumptions!$B$9,0)</f>
        <v>41558</v>
      </c>
      <c r="AI3" s="6" t="n">
        <f aca="false">ROUND((Z3-AG3-AH3)/12,0)</f>
        <v>167897</v>
      </c>
      <c r="AJ3" s="4" t="n">
        <v>250000</v>
      </c>
      <c r="AK3" s="3" t="n">
        <v>12</v>
      </c>
      <c r="AL3" s="4" t="n">
        <v>300000</v>
      </c>
      <c r="AM3" s="3" t="n">
        <v>18</v>
      </c>
      <c r="AN3" s="3" t="n">
        <v>400</v>
      </c>
      <c r="AO3" s="3" t="n">
        <v>4</v>
      </c>
      <c r="AP3" s="3" t="s">
        <v>88</v>
      </c>
      <c r="AQ3" s="4" t="n">
        <v>150000</v>
      </c>
      <c r="AR3" s="3" t="s">
        <v>69</v>
      </c>
      <c r="AS3" s="4" t="n">
        <v>0</v>
      </c>
      <c r="AT3" s="3" t="s">
        <v>70</v>
      </c>
      <c r="AU3" s="4" t="n">
        <v>1000000</v>
      </c>
      <c r="AV3" s="3" t="s">
        <v>71</v>
      </c>
      <c r="AW3" s="3" t="s">
        <v>72</v>
      </c>
      <c r="AX3" s="3" t="s">
        <v>73</v>
      </c>
      <c r="AY3" s="3" t="s">
        <v>74</v>
      </c>
    </row>
    <row r="4" customFormat="false" ht="15" hidden="false" customHeight="false" outlineLevel="0" collapsed="false">
      <c r="A4" s="3" t="s">
        <v>89</v>
      </c>
      <c r="B4" s="3" t="s">
        <v>52</v>
      </c>
      <c r="C4" s="3" t="s">
        <v>90</v>
      </c>
      <c r="D4" s="3" t="s">
        <v>91</v>
      </c>
      <c r="E4" s="3" t="s">
        <v>92</v>
      </c>
      <c r="F4" s="3" t="s">
        <v>93</v>
      </c>
      <c r="G4" s="3" t="s">
        <v>57</v>
      </c>
      <c r="H4" s="3" t="s">
        <v>94</v>
      </c>
      <c r="I4" s="3" t="s">
        <v>95</v>
      </c>
      <c r="J4" s="3" t="n">
        <v>400005</v>
      </c>
      <c r="K4" s="3" t="s">
        <v>96</v>
      </c>
      <c r="L4" s="3" t="s">
        <v>61</v>
      </c>
      <c r="M4" s="3" t="s">
        <v>62</v>
      </c>
      <c r="N4" s="3" t="s">
        <v>97</v>
      </c>
      <c r="O4" s="3" t="s">
        <v>98</v>
      </c>
      <c r="P4" s="3" t="s">
        <v>99</v>
      </c>
      <c r="Q4" s="3" t="s">
        <v>94</v>
      </c>
      <c r="R4" s="3" t="s">
        <v>66</v>
      </c>
      <c r="S4" s="3" t="s">
        <v>100</v>
      </c>
      <c r="T4" s="3" t="n">
        <v>6</v>
      </c>
      <c r="U4" s="3" t="n">
        <v>45</v>
      </c>
      <c r="V4" s="3" t="s">
        <v>68</v>
      </c>
      <c r="W4" s="4" t="n">
        <v>850000</v>
      </c>
      <c r="X4" s="5" t="n">
        <v>0</v>
      </c>
      <c r="Y4" s="6" t="n">
        <f aca="false">ROUND(W4*X4,0)</f>
        <v>0</v>
      </c>
      <c r="Z4" s="6" t="n">
        <f aca="false">W4-Y4</f>
        <v>850000</v>
      </c>
      <c r="AA4" s="6" t="n">
        <f aca="false">ROUND(Z4*Assumptions!$B$3,0)</f>
        <v>340000</v>
      </c>
      <c r="AB4" s="6" t="n">
        <f aca="false">ROUND(AA4*Assumptions!$B$4,0)</f>
        <v>170000</v>
      </c>
      <c r="AC4" s="6" t="n">
        <f aca="false">Assumptions!$B$5</f>
        <v>19200</v>
      </c>
      <c r="AD4" s="6" t="n">
        <f aca="false">Assumptions!$B$6</f>
        <v>15000</v>
      </c>
      <c r="AE4" s="6" t="n">
        <f aca="false">ROUND(AA4*Assumptions!$B$7,0)</f>
        <v>27200</v>
      </c>
      <c r="AF4" s="6" t="n">
        <f aca="false">Z4-AA4-AB4-AC4-AD4-AE4-AG4-AH4</f>
        <v>221446</v>
      </c>
      <c r="AG4" s="6" t="n">
        <f aca="false">ROUND(AA4*Assumptions!$B$8,0)</f>
        <v>40800</v>
      </c>
      <c r="AH4" s="6" t="n">
        <f aca="false">ROUND(AA4*Assumptions!$B$9,0)</f>
        <v>16354</v>
      </c>
      <c r="AI4" s="6" t="n">
        <f aca="false">ROUND((Z4-AG4-AH4)/12,0)</f>
        <v>66071</v>
      </c>
      <c r="AJ4" s="4" t="n">
        <v>0</v>
      </c>
      <c r="AK4" s="3" t="n">
        <v>0</v>
      </c>
      <c r="AL4" s="4" t="n">
        <v>0</v>
      </c>
      <c r="AM4" s="3" t="n">
        <v>0</v>
      </c>
      <c r="AN4" s="3" t="n">
        <v>0</v>
      </c>
      <c r="AO4" s="3" t="n">
        <v>0</v>
      </c>
      <c r="AP4" s="3" t="s">
        <v>88</v>
      </c>
      <c r="AQ4" s="4" t="n">
        <v>75000</v>
      </c>
      <c r="AR4" s="3" t="s">
        <v>88</v>
      </c>
      <c r="AS4" s="4" t="n">
        <v>6000</v>
      </c>
      <c r="AT4" s="3" t="s">
        <v>101</v>
      </c>
      <c r="AU4" s="4" t="n">
        <v>300000</v>
      </c>
      <c r="AV4" s="3" t="s">
        <v>71</v>
      </c>
      <c r="AW4" s="3" t="s">
        <v>72</v>
      </c>
      <c r="AX4" s="3" t="s">
        <v>73</v>
      </c>
      <c r="AY4" s="3" t="s">
        <v>74</v>
      </c>
    </row>
    <row r="5" customFormat="false" ht="15" hidden="false" customHeight="false" outlineLevel="0" collapsed="false">
      <c r="A5" s="3" t="s">
        <v>102</v>
      </c>
      <c r="B5" s="3" t="s">
        <v>76</v>
      </c>
      <c r="C5" s="3" t="s">
        <v>103</v>
      </c>
      <c r="D5" s="3" t="s">
        <v>104</v>
      </c>
      <c r="E5" s="3" t="s">
        <v>105</v>
      </c>
      <c r="F5" s="3" t="s">
        <v>106</v>
      </c>
      <c r="G5" s="3" t="s">
        <v>57</v>
      </c>
      <c r="H5" s="3" t="s">
        <v>107</v>
      </c>
      <c r="I5" s="3" t="s">
        <v>108</v>
      </c>
      <c r="J5" s="3" t="n">
        <v>400006</v>
      </c>
      <c r="K5" s="3" t="s">
        <v>109</v>
      </c>
      <c r="L5" s="3" t="s">
        <v>61</v>
      </c>
      <c r="M5" s="3" t="s">
        <v>62</v>
      </c>
      <c r="N5" s="3" t="s">
        <v>110</v>
      </c>
      <c r="O5" s="3" t="s">
        <v>111</v>
      </c>
      <c r="P5" s="3" t="s">
        <v>112</v>
      </c>
      <c r="Q5" s="3" t="s">
        <v>107</v>
      </c>
      <c r="R5" s="3" t="s">
        <v>66</v>
      </c>
      <c r="S5" s="3" t="s">
        <v>113</v>
      </c>
      <c r="T5" s="3" t="n">
        <v>0</v>
      </c>
      <c r="U5" s="3" t="n">
        <v>90</v>
      </c>
      <c r="V5" s="3" t="s">
        <v>68</v>
      </c>
      <c r="W5" s="4" t="n">
        <v>3600000</v>
      </c>
      <c r="X5" s="5" t="n">
        <v>0.15</v>
      </c>
      <c r="Y5" s="6" t="n">
        <f aca="false">ROUND(W5*X5,0)</f>
        <v>540000</v>
      </c>
      <c r="Z5" s="6" t="n">
        <f aca="false">W5-Y5</f>
        <v>3060000</v>
      </c>
      <c r="AA5" s="6" t="n">
        <f aca="false">ROUND(Z5*Assumptions!$B$3,0)</f>
        <v>1224000</v>
      </c>
      <c r="AB5" s="6" t="n">
        <f aca="false">ROUND(AA5*Assumptions!$B$4,0)</f>
        <v>612000</v>
      </c>
      <c r="AC5" s="6" t="n">
        <f aca="false">Assumptions!$B$5</f>
        <v>19200</v>
      </c>
      <c r="AD5" s="6" t="n">
        <f aca="false">Assumptions!$B$6</f>
        <v>15000</v>
      </c>
      <c r="AE5" s="6" t="n">
        <f aca="false">ROUND(AA5*Assumptions!$B$7,0)</f>
        <v>97920</v>
      </c>
      <c r="AF5" s="6" t="n">
        <f aca="false">Z5-AA5-AB5-AC5-AD5-AE5-AG5-AH5</f>
        <v>886126</v>
      </c>
      <c r="AG5" s="6" t="n">
        <f aca="false">ROUND(AA5*Assumptions!$B$8,0)</f>
        <v>146880</v>
      </c>
      <c r="AH5" s="6" t="n">
        <f aca="false">ROUND(AA5*Assumptions!$B$9,0)</f>
        <v>58874</v>
      </c>
      <c r="AI5" s="6" t="n">
        <f aca="false">ROUND((Z5-AG5-AH5)/12,0)</f>
        <v>237854</v>
      </c>
      <c r="AJ5" s="4" t="n">
        <v>500000</v>
      </c>
      <c r="AK5" s="3" t="n">
        <v>12</v>
      </c>
      <c r="AL5" s="4" t="n">
        <v>600000</v>
      </c>
      <c r="AM5" s="3" t="n">
        <v>24</v>
      </c>
      <c r="AN5" s="3" t="n">
        <v>1200</v>
      </c>
      <c r="AO5" s="3" t="n">
        <v>4</v>
      </c>
      <c r="AP5" s="3" t="s">
        <v>88</v>
      </c>
      <c r="AQ5" s="4" t="n">
        <v>250000</v>
      </c>
      <c r="AR5" s="3" t="s">
        <v>69</v>
      </c>
      <c r="AS5" s="4" t="n">
        <v>0</v>
      </c>
      <c r="AT5" s="3" t="s">
        <v>70</v>
      </c>
      <c r="AU5" s="4" t="n">
        <v>1500000</v>
      </c>
      <c r="AV5" s="3" t="s">
        <v>71</v>
      </c>
      <c r="AW5" s="3" t="s">
        <v>72</v>
      </c>
      <c r="AX5" s="3" t="s">
        <v>73</v>
      </c>
      <c r="AY5" s="3" t="s">
        <v>74</v>
      </c>
    </row>
    <row r="6" customFormat="false" ht="15" hidden="false" customHeight="false" outlineLevel="0" collapsed="false">
      <c r="A6" s="3" t="s">
        <v>114</v>
      </c>
      <c r="B6" s="3" t="s">
        <v>52</v>
      </c>
      <c r="C6" s="3" t="s">
        <v>115</v>
      </c>
      <c r="D6" s="3" t="s">
        <v>116</v>
      </c>
      <c r="E6" s="3" t="s">
        <v>117</v>
      </c>
      <c r="F6" s="3" t="s">
        <v>118</v>
      </c>
      <c r="G6" s="3" t="s">
        <v>57</v>
      </c>
      <c r="H6" s="3" t="s">
        <v>119</v>
      </c>
      <c r="I6" s="3" t="s">
        <v>120</v>
      </c>
      <c r="J6" s="3" t="n">
        <v>400007</v>
      </c>
      <c r="K6" s="3" t="s">
        <v>121</v>
      </c>
      <c r="L6" s="3" t="s">
        <v>61</v>
      </c>
      <c r="M6" s="3" t="s">
        <v>62</v>
      </c>
      <c r="N6" s="3" t="s">
        <v>122</v>
      </c>
      <c r="O6" s="3" t="s">
        <v>98</v>
      </c>
      <c r="P6" s="3" t="s">
        <v>123</v>
      </c>
      <c r="Q6" s="3" t="s">
        <v>119</v>
      </c>
      <c r="R6" s="3" t="s">
        <v>124</v>
      </c>
      <c r="S6" s="3" t="s">
        <v>125</v>
      </c>
      <c r="T6" s="3" t="n">
        <v>3</v>
      </c>
      <c r="U6" s="3" t="n">
        <v>30</v>
      </c>
      <c r="V6" s="3" t="s">
        <v>68</v>
      </c>
      <c r="W6" s="4" t="n">
        <v>700000</v>
      </c>
      <c r="X6" s="5" t="n">
        <v>0</v>
      </c>
      <c r="Y6" s="6" t="n">
        <f aca="false">ROUND(W6*X6,0)</f>
        <v>0</v>
      </c>
      <c r="Z6" s="6" t="n">
        <f aca="false">W6-Y6</f>
        <v>700000</v>
      </c>
      <c r="AA6" s="6" t="n">
        <f aca="false">ROUND(Z6*Assumptions!$B$3,0)</f>
        <v>280000</v>
      </c>
      <c r="AB6" s="6" t="n">
        <f aca="false">ROUND(AA6*Assumptions!$B$4,0)</f>
        <v>140000</v>
      </c>
      <c r="AC6" s="6" t="n">
        <f aca="false">Assumptions!$B$5</f>
        <v>19200</v>
      </c>
      <c r="AD6" s="6" t="n">
        <f aca="false">Assumptions!$B$6</f>
        <v>15000</v>
      </c>
      <c r="AE6" s="6" t="n">
        <f aca="false">ROUND(AA6*Assumptions!$B$7,0)</f>
        <v>22400</v>
      </c>
      <c r="AF6" s="6" t="n">
        <f aca="false">Z6-AA6-AB6-AC6-AD6-AE6-AG6-AH6</f>
        <v>176332</v>
      </c>
      <c r="AG6" s="6" t="n">
        <f aca="false">ROUND(AA6*Assumptions!$B$8,0)</f>
        <v>33600</v>
      </c>
      <c r="AH6" s="6" t="n">
        <f aca="false">ROUND(AA6*Assumptions!$B$9,0)</f>
        <v>13468</v>
      </c>
      <c r="AI6" s="6" t="n">
        <f aca="false">ROUND((Z6-AG6-AH6)/12,0)</f>
        <v>54411</v>
      </c>
      <c r="AJ6" s="4" t="n">
        <v>0</v>
      </c>
      <c r="AK6" s="3" t="n">
        <v>0</v>
      </c>
      <c r="AL6" s="4" t="n">
        <v>0</v>
      </c>
      <c r="AM6" s="3" t="n">
        <v>0</v>
      </c>
      <c r="AN6" s="3" t="n">
        <v>0</v>
      </c>
      <c r="AO6" s="3" t="n">
        <v>0</v>
      </c>
      <c r="AP6" s="3" t="s">
        <v>69</v>
      </c>
      <c r="AQ6" s="4" t="n">
        <v>0</v>
      </c>
      <c r="AR6" s="3" t="s">
        <v>88</v>
      </c>
      <c r="AS6" s="4" t="n">
        <v>5000</v>
      </c>
      <c r="AT6" s="3" t="s">
        <v>101</v>
      </c>
      <c r="AU6" s="4" t="n">
        <v>300000</v>
      </c>
      <c r="AV6" s="3" t="s">
        <v>71</v>
      </c>
      <c r="AW6" s="3" t="s">
        <v>72</v>
      </c>
      <c r="AX6" s="3" t="s">
        <v>73</v>
      </c>
      <c r="AY6" s="3" t="s">
        <v>74</v>
      </c>
    </row>
    <row r="7" customFormat="false" ht="15" hidden="false" customHeight="false" outlineLevel="0" collapsed="false">
      <c r="A7" s="3" t="s">
        <v>126</v>
      </c>
      <c r="B7" s="3" t="s">
        <v>76</v>
      </c>
      <c r="C7" s="3" t="s">
        <v>127</v>
      </c>
      <c r="D7" s="3" t="s">
        <v>128</v>
      </c>
      <c r="E7" s="3" t="s">
        <v>129</v>
      </c>
      <c r="F7" s="3" t="s">
        <v>130</v>
      </c>
      <c r="G7" s="3" t="s">
        <v>57</v>
      </c>
      <c r="H7" s="3" t="s">
        <v>131</v>
      </c>
      <c r="I7" s="3" t="s">
        <v>132</v>
      </c>
      <c r="J7" s="3" t="n">
        <v>400008</v>
      </c>
      <c r="K7" s="3" t="s">
        <v>133</v>
      </c>
      <c r="L7" s="3" t="s">
        <v>61</v>
      </c>
      <c r="M7" s="3" t="s">
        <v>62</v>
      </c>
      <c r="N7" s="3" t="s">
        <v>134</v>
      </c>
      <c r="O7" s="3" t="s">
        <v>111</v>
      </c>
      <c r="P7" s="3" t="s">
        <v>135</v>
      </c>
      <c r="Q7" s="3" t="s">
        <v>131</v>
      </c>
      <c r="R7" s="3" t="s">
        <v>66</v>
      </c>
      <c r="S7" s="3" t="s">
        <v>136</v>
      </c>
      <c r="T7" s="3" t="n">
        <v>0</v>
      </c>
      <c r="U7" s="3" t="n">
        <v>90</v>
      </c>
      <c r="V7" s="3" t="s">
        <v>68</v>
      </c>
      <c r="W7" s="4" t="n">
        <v>3200000</v>
      </c>
      <c r="X7" s="5" t="n">
        <v>0.12</v>
      </c>
      <c r="Y7" s="6" t="n">
        <f aca="false">ROUND(W7*X7,0)</f>
        <v>384000</v>
      </c>
      <c r="Z7" s="6" t="n">
        <f aca="false">W7-Y7</f>
        <v>2816000</v>
      </c>
      <c r="AA7" s="6" t="n">
        <f aca="false">ROUND(Z7*Assumptions!$B$3,0)</f>
        <v>1126400</v>
      </c>
      <c r="AB7" s="6" t="n">
        <f aca="false">ROUND(AA7*Assumptions!$B$4,0)</f>
        <v>563200</v>
      </c>
      <c r="AC7" s="6" t="n">
        <f aca="false">Assumptions!$B$5</f>
        <v>19200</v>
      </c>
      <c r="AD7" s="6" t="n">
        <f aca="false">Assumptions!$B$6</f>
        <v>15000</v>
      </c>
      <c r="AE7" s="6" t="n">
        <f aca="false">ROUND(AA7*Assumptions!$B$7,0)</f>
        <v>90112</v>
      </c>
      <c r="AF7" s="6" t="n">
        <f aca="false">Z7-AA7-AB7-AC7-AD7-AE7-AG7-AH7</f>
        <v>812740</v>
      </c>
      <c r="AG7" s="6" t="n">
        <f aca="false">ROUND(AA7*Assumptions!$B$8,0)</f>
        <v>135168</v>
      </c>
      <c r="AH7" s="6" t="n">
        <f aca="false">ROUND(AA7*Assumptions!$B$9,0)</f>
        <v>54180</v>
      </c>
      <c r="AI7" s="6" t="n">
        <f aca="false">ROUND((Z7-AG7-AH7)/12,0)</f>
        <v>218888</v>
      </c>
      <c r="AJ7" s="4" t="n">
        <v>400000</v>
      </c>
      <c r="AK7" s="3" t="n">
        <v>12</v>
      </c>
      <c r="AL7" s="4" t="n">
        <v>0</v>
      </c>
      <c r="AM7" s="3" t="n">
        <v>0</v>
      </c>
      <c r="AN7" s="3" t="n">
        <v>900</v>
      </c>
      <c r="AO7" s="3" t="n">
        <v>4</v>
      </c>
      <c r="AP7" s="3" t="s">
        <v>69</v>
      </c>
      <c r="AQ7" s="4" t="n">
        <v>0</v>
      </c>
      <c r="AR7" s="3" t="s">
        <v>69</v>
      </c>
      <c r="AS7" s="4" t="n">
        <v>0</v>
      </c>
      <c r="AT7" s="3" t="s">
        <v>70</v>
      </c>
      <c r="AU7" s="4" t="n">
        <v>1500000</v>
      </c>
      <c r="AV7" s="3" t="s">
        <v>71</v>
      </c>
      <c r="AW7" s="3" t="s">
        <v>72</v>
      </c>
      <c r="AX7" s="3" t="s">
        <v>73</v>
      </c>
      <c r="AY7" s="3" t="s">
        <v>74</v>
      </c>
    </row>
    <row r="8" customFormat="false" ht="15" hidden="false" customHeight="false" outlineLevel="0" collapsed="false">
      <c r="A8" s="3" t="s">
        <v>137</v>
      </c>
      <c r="B8" s="3" t="s">
        <v>52</v>
      </c>
      <c r="C8" s="3" t="s">
        <v>138</v>
      </c>
      <c r="D8" s="3" t="s">
        <v>139</v>
      </c>
      <c r="E8" s="3" t="s">
        <v>140</v>
      </c>
      <c r="F8" s="3" t="s">
        <v>141</v>
      </c>
      <c r="G8" s="3" t="s">
        <v>57</v>
      </c>
      <c r="H8" s="3" t="s">
        <v>58</v>
      </c>
      <c r="I8" s="3" t="s">
        <v>59</v>
      </c>
      <c r="J8" s="3" t="n">
        <v>400009</v>
      </c>
      <c r="K8" s="3" t="s">
        <v>142</v>
      </c>
      <c r="L8" s="3" t="s">
        <v>61</v>
      </c>
      <c r="M8" s="3" t="s">
        <v>62</v>
      </c>
      <c r="N8" s="3" t="s">
        <v>143</v>
      </c>
      <c r="O8" s="3" t="s">
        <v>64</v>
      </c>
      <c r="P8" s="3" t="s">
        <v>144</v>
      </c>
      <c r="Q8" s="3" t="s">
        <v>58</v>
      </c>
      <c r="R8" s="3" t="s">
        <v>66</v>
      </c>
      <c r="S8" s="3" t="s">
        <v>67</v>
      </c>
      <c r="T8" s="3" t="n">
        <v>6</v>
      </c>
      <c r="U8" s="3" t="n">
        <v>60</v>
      </c>
      <c r="V8" s="3" t="s">
        <v>68</v>
      </c>
      <c r="W8" s="4" t="n">
        <v>1450000</v>
      </c>
      <c r="X8" s="5" t="n">
        <v>0.05</v>
      </c>
      <c r="Y8" s="6" t="n">
        <f aca="false">ROUND(W8*X8,0)</f>
        <v>72500</v>
      </c>
      <c r="Z8" s="6" t="n">
        <f aca="false">W8-Y8</f>
        <v>1377500</v>
      </c>
      <c r="AA8" s="6" t="n">
        <f aca="false">ROUND(Z8*Assumptions!$B$3,0)</f>
        <v>551000</v>
      </c>
      <c r="AB8" s="6" t="n">
        <f aca="false">ROUND(AA8*Assumptions!$B$4,0)</f>
        <v>275500</v>
      </c>
      <c r="AC8" s="6" t="n">
        <f aca="false">Assumptions!$B$5</f>
        <v>19200</v>
      </c>
      <c r="AD8" s="6" t="n">
        <f aca="false">Assumptions!$B$6</f>
        <v>15000</v>
      </c>
      <c r="AE8" s="6" t="n">
        <f aca="false">ROUND(AA8*Assumptions!$B$7,0)</f>
        <v>44080</v>
      </c>
      <c r="AF8" s="6" t="n">
        <f aca="false">Z8-AA8-AB8-AC8-AD8-AE8-AG8-AH8</f>
        <v>380097</v>
      </c>
      <c r="AG8" s="6" t="n">
        <f aca="false">ROUND(AA8*Assumptions!$B$8,0)</f>
        <v>66120</v>
      </c>
      <c r="AH8" s="6" t="n">
        <f aca="false">ROUND(AA8*Assumptions!$B$9,0)</f>
        <v>26503</v>
      </c>
      <c r="AI8" s="6" t="n">
        <f aca="false">ROUND((Z8-AG8-AH8)/12,0)</f>
        <v>107073</v>
      </c>
      <c r="AJ8" s="4" t="n">
        <v>120000</v>
      </c>
      <c r="AK8" s="3" t="n">
        <v>12</v>
      </c>
      <c r="AL8" s="4" t="n">
        <v>0</v>
      </c>
      <c r="AM8" s="3" t="n">
        <v>0</v>
      </c>
      <c r="AN8" s="3" t="n">
        <v>0</v>
      </c>
      <c r="AO8" s="3" t="n">
        <v>0</v>
      </c>
      <c r="AP8" s="3" t="s">
        <v>69</v>
      </c>
      <c r="AQ8" s="4" t="n">
        <v>0</v>
      </c>
      <c r="AR8" s="3" t="s">
        <v>88</v>
      </c>
      <c r="AS8" s="4" t="n">
        <v>7500</v>
      </c>
      <c r="AT8" s="3" t="s">
        <v>70</v>
      </c>
      <c r="AU8" s="4" t="n">
        <v>500000</v>
      </c>
      <c r="AV8" s="3" t="s">
        <v>71</v>
      </c>
      <c r="AW8" s="3" t="s">
        <v>72</v>
      </c>
      <c r="AX8" s="3" t="s">
        <v>73</v>
      </c>
      <c r="AY8" s="3" t="s">
        <v>74</v>
      </c>
    </row>
    <row r="9" customFormat="false" ht="15" hidden="false" customHeight="false" outlineLevel="0" collapsed="false">
      <c r="A9" s="3" t="s">
        <v>145</v>
      </c>
      <c r="B9" s="3" t="s">
        <v>76</v>
      </c>
      <c r="C9" s="3" t="s">
        <v>146</v>
      </c>
      <c r="D9" s="3" t="s">
        <v>147</v>
      </c>
      <c r="E9" s="3" t="s">
        <v>148</v>
      </c>
      <c r="F9" s="3" t="s">
        <v>149</v>
      </c>
      <c r="G9" s="3" t="s">
        <v>57</v>
      </c>
      <c r="H9" s="3" t="s">
        <v>81</v>
      </c>
      <c r="I9" s="3" t="s">
        <v>82</v>
      </c>
      <c r="J9" s="3" t="n">
        <v>400010</v>
      </c>
      <c r="K9" s="3" t="s">
        <v>150</v>
      </c>
      <c r="L9" s="3" t="s">
        <v>61</v>
      </c>
      <c r="M9" s="3" t="s">
        <v>62</v>
      </c>
      <c r="N9" s="3" t="s">
        <v>151</v>
      </c>
      <c r="O9" s="3" t="s">
        <v>85</v>
      </c>
      <c r="P9" s="3" t="s">
        <v>152</v>
      </c>
      <c r="Q9" s="3" t="s">
        <v>81</v>
      </c>
      <c r="R9" s="3" t="s">
        <v>66</v>
      </c>
      <c r="S9" s="3" t="s">
        <v>153</v>
      </c>
      <c r="T9" s="3" t="n">
        <v>3</v>
      </c>
      <c r="U9" s="3" t="n">
        <v>60</v>
      </c>
      <c r="V9" s="3" t="s">
        <v>68</v>
      </c>
      <c r="W9" s="4" t="n">
        <v>1800000</v>
      </c>
      <c r="X9" s="5" t="n">
        <v>0.08</v>
      </c>
      <c r="Y9" s="6" t="n">
        <f aca="false">ROUND(W9*X9,0)</f>
        <v>144000</v>
      </c>
      <c r="Z9" s="6" t="n">
        <f aca="false">W9-Y9</f>
        <v>1656000</v>
      </c>
      <c r="AA9" s="6" t="n">
        <f aca="false">ROUND(Z9*Assumptions!$B$3,0)</f>
        <v>662400</v>
      </c>
      <c r="AB9" s="6" t="n">
        <f aca="false">ROUND(AA9*Assumptions!$B$4,0)</f>
        <v>331200</v>
      </c>
      <c r="AC9" s="6" t="n">
        <f aca="false">Assumptions!$B$5</f>
        <v>19200</v>
      </c>
      <c r="AD9" s="6" t="n">
        <f aca="false">Assumptions!$B$6</f>
        <v>15000</v>
      </c>
      <c r="AE9" s="6" t="n">
        <f aca="false">ROUND(AA9*Assumptions!$B$7,0)</f>
        <v>52992</v>
      </c>
      <c r="AF9" s="6" t="n">
        <f aca="false">Z9-AA9-AB9-AC9-AD9-AE9-AG9-AH9</f>
        <v>463859</v>
      </c>
      <c r="AG9" s="6" t="n">
        <f aca="false">ROUND(AA9*Assumptions!$B$8,0)</f>
        <v>79488</v>
      </c>
      <c r="AH9" s="6" t="n">
        <f aca="false">ROUND(AA9*Assumptions!$B$9,0)</f>
        <v>31861</v>
      </c>
      <c r="AI9" s="6" t="n">
        <f aca="false">ROUND((Z9-AG9-AH9)/12,0)</f>
        <v>128721</v>
      </c>
      <c r="AJ9" s="4" t="n">
        <v>0</v>
      </c>
      <c r="AK9" s="3" t="n">
        <v>0</v>
      </c>
      <c r="AL9" s="4" t="n">
        <v>200000</v>
      </c>
      <c r="AM9" s="3" t="n">
        <v>12</v>
      </c>
      <c r="AN9" s="3" t="n">
        <v>0</v>
      </c>
      <c r="AO9" s="3" t="n">
        <v>0</v>
      </c>
      <c r="AP9" s="3" t="s">
        <v>88</v>
      </c>
      <c r="AQ9" s="4" t="n">
        <v>100000</v>
      </c>
      <c r="AR9" s="3" t="s">
        <v>69</v>
      </c>
      <c r="AS9" s="4" t="n">
        <v>0</v>
      </c>
      <c r="AT9" s="3" t="s">
        <v>70</v>
      </c>
      <c r="AU9" s="4" t="n">
        <v>1000000</v>
      </c>
      <c r="AV9" s="3" t="s">
        <v>71</v>
      </c>
      <c r="AW9" s="3" t="s">
        <v>72</v>
      </c>
      <c r="AX9" s="3" t="s">
        <v>73</v>
      </c>
      <c r="AY9" s="3" t="s">
        <v>74</v>
      </c>
    </row>
    <row r="10" customFormat="false" ht="15" hidden="false" customHeight="false" outlineLevel="0" collapsed="false">
      <c r="A10" s="3" t="s">
        <v>154</v>
      </c>
      <c r="B10" s="3" t="s">
        <v>52</v>
      </c>
      <c r="C10" s="3" t="s">
        <v>155</v>
      </c>
      <c r="D10" s="3" t="s">
        <v>156</v>
      </c>
      <c r="E10" s="3" t="s">
        <v>157</v>
      </c>
      <c r="F10" s="3" t="s">
        <v>158</v>
      </c>
      <c r="G10" s="3" t="s">
        <v>57</v>
      </c>
      <c r="H10" s="3" t="s">
        <v>58</v>
      </c>
      <c r="I10" s="3" t="s">
        <v>59</v>
      </c>
      <c r="J10" s="3" t="n">
        <v>400011</v>
      </c>
      <c r="K10" s="3" t="s">
        <v>159</v>
      </c>
      <c r="L10" s="3" t="s">
        <v>61</v>
      </c>
      <c r="M10" s="3" t="s">
        <v>62</v>
      </c>
      <c r="N10" s="3" t="s">
        <v>160</v>
      </c>
      <c r="O10" s="3" t="s">
        <v>161</v>
      </c>
      <c r="P10" s="3" t="s">
        <v>65</v>
      </c>
      <c r="Q10" s="3" t="s">
        <v>58</v>
      </c>
      <c r="R10" s="3" t="s">
        <v>162</v>
      </c>
      <c r="S10" s="3" t="s">
        <v>67</v>
      </c>
      <c r="T10" s="3" t="n">
        <v>0</v>
      </c>
      <c r="U10" s="3" t="n">
        <v>15</v>
      </c>
      <c r="V10" s="3" t="s">
        <v>68</v>
      </c>
      <c r="W10" s="4" t="n">
        <v>360000</v>
      </c>
      <c r="X10" s="5" t="n">
        <v>0</v>
      </c>
      <c r="Y10" s="6" t="n">
        <f aca="false">ROUND(W10*X10,0)</f>
        <v>0</v>
      </c>
      <c r="Z10" s="6" t="n">
        <f aca="false">W10-Y10</f>
        <v>360000</v>
      </c>
      <c r="AA10" s="6" t="n">
        <f aca="false">ROUND(Z10*Assumptions!$B$3,0)</f>
        <v>144000</v>
      </c>
      <c r="AB10" s="6" t="n">
        <f aca="false">ROUND(AA10*Assumptions!$B$4,0)</f>
        <v>72000</v>
      </c>
      <c r="AC10" s="6" t="n">
        <f aca="false">Assumptions!$B$5</f>
        <v>19200</v>
      </c>
      <c r="AD10" s="6" t="n">
        <f aca="false">Assumptions!$B$6</f>
        <v>15000</v>
      </c>
      <c r="AE10" s="6" t="n">
        <f aca="false">ROUND(AA10*Assumptions!$B$7,0)</f>
        <v>11520</v>
      </c>
      <c r="AF10" s="6" t="n">
        <f aca="false">Z10-AA10-AB10-AC10-AD10-AE10-AG10-AH10</f>
        <v>74074</v>
      </c>
      <c r="AG10" s="6" t="n">
        <f aca="false">ROUND(AA10*Assumptions!$B$8,0)</f>
        <v>17280</v>
      </c>
      <c r="AH10" s="6" t="n">
        <f aca="false">ROUND(AA10*Assumptions!$B$9,0)</f>
        <v>6926</v>
      </c>
      <c r="AI10" s="6" t="n">
        <f aca="false">ROUND((Z10-AG10-AH10)/12,0)</f>
        <v>27983</v>
      </c>
      <c r="AJ10" s="4" t="n">
        <v>0</v>
      </c>
      <c r="AK10" s="3" t="n">
        <v>0</v>
      </c>
      <c r="AL10" s="4" t="n">
        <v>0</v>
      </c>
      <c r="AM10" s="3" t="n">
        <v>0</v>
      </c>
      <c r="AN10" s="3" t="n">
        <v>0</v>
      </c>
      <c r="AO10" s="3" t="n">
        <v>0</v>
      </c>
      <c r="AP10" s="3" t="s">
        <v>69</v>
      </c>
      <c r="AQ10" s="4" t="n">
        <v>0</v>
      </c>
      <c r="AR10" s="3" t="s">
        <v>69</v>
      </c>
      <c r="AS10" s="4" t="n">
        <v>0</v>
      </c>
      <c r="AT10" s="3" t="s">
        <v>101</v>
      </c>
      <c r="AU10" s="4" t="n">
        <v>200000</v>
      </c>
      <c r="AV10" s="3" t="s">
        <v>71</v>
      </c>
      <c r="AW10" s="3" t="s">
        <v>72</v>
      </c>
      <c r="AX10" s="3" t="s">
        <v>73</v>
      </c>
      <c r="AY10" s="3" t="s">
        <v>74</v>
      </c>
    </row>
    <row r="11" customFormat="false" ht="15" hidden="false" customHeight="false" outlineLevel="0" collapsed="false">
      <c r="A11" s="3" t="s">
        <v>163</v>
      </c>
      <c r="B11" s="3" t="s">
        <v>76</v>
      </c>
      <c r="C11" s="3" t="s">
        <v>164</v>
      </c>
      <c r="D11" s="3" t="s">
        <v>165</v>
      </c>
      <c r="E11" s="3" t="s">
        <v>166</v>
      </c>
      <c r="F11" s="3" t="s">
        <v>167</v>
      </c>
      <c r="G11" s="3" t="s">
        <v>57</v>
      </c>
      <c r="H11" s="3" t="s">
        <v>131</v>
      </c>
      <c r="I11" s="3" t="s">
        <v>132</v>
      </c>
      <c r="J11" s="3" t="n">
        <v>400012</v>
      </c>
      <c r="K11" s="3" t="s">
        <v>168</v>
      </c>
      <c r="L11" s="3" t="s">
        <v>61</v>
      </c>
      <c r="M11" s="3" t="s">
        <v>62</v>
      </c>
      <c r="N11" s="3" t="s">
        <v>169</v>
      </c>
      <c r="O11" s="3" t="s">
        <v>64</v>
      </c>
      <c r="P11" s="3" t="s">
        <v>99</v>
      </c>
      <c r="Q11" s="3" t="s">
        <v>131</v>
      </c>
      <c r="R11" s="3" t="s">
        <v>66</v>
      </c>
      <c r="S11" s="3" t="s">
        <v>136</v>
      </c>
      <c r="T11" s="3" t="n">
        <v>6</v>
      </c>
      <c r="U11" s="3" t="n">
        <v>60</v>
      </c>
      <c r="V11" s="3" t="s">
        <v>68</v>
      </c>
      <c r="W11" s="4" t="n">
        <v>1100000</v>
      </c>
      <c r="X11" s="5" t="n">
        <v>0.05</v>
      </c>
      <c r="Y11" s="6" t="n">
        <f aca="false">ROUND(W11*X11,0)</f>
        <v>55000</v>
      </c>
      <c r="Z11" s="6" t="n">
        <f aca="false">W11-Y11</f>
        <v>1045000</v>
      </c>
      <c r="AA11" s="6" t="n">
        <f aca="false">ROUND(Z11*Assumptions!$B$3,0)</f>
        <v>418000</v>
      </c>
      <c r="AB11" s="6" t="n">
        <f aca="false">ROUND(AA11*Assumptions!$B$4,0)</f>
        <v>209000</v>
      </c>
      <c r="AC11" s="6" t="n">
        <f aca="false">Assumptions!$B$5</f>
        <v>19200</v>
      </c>
      <c r="AD11" s="6" t="n">
        <f aca="false">Assumptions!$B$6</f>
        <v>15000</v>
      </c>
      <c r="AE11" s="6" t="n">
        <f aca="false">ROUND(AA11*Assumptions!$B$7,0)</f>
        <v>33440</v>
      </c>
      <c r="AF11" s="6" t="n">
        <f aca="false">Z11-AA11-AB11-AC11-AD11-AE11-AG11-AH11</f>
        <v>280094</v>
      </c>
      <c r="AG11" s="6" t="n">
        <f aca="false">ROUND(AA11*Assumptions!$B$8,0)</f>
        <v>50160</v>
      </c>
      <c r="AH11" s="6" t="n">
        <f aca="false">ROUND(AA11*Assumptions!$B$9,0)</f>
        <v>20106</v>
      </c>
      <c r="AI11" s="6" t="n">
        <f aca="false">ROUND((Z11-AG11-AH11)/12,0)</f>
        <v>81228</v>
      </c>
      <c r="AJ11" s="4" t="n">
        <v>75000</v>
      </c>
      <c r="AK11" s="3" t="n">
        <v>12</v>
      </c>
      <c r="AL11" s="4" t="n">
        <v>0</v>
      </c>
      <c r="AM11" s="3" t="n">
        <v>0</v>
      </c>
      <c r="AN11" s="3" t="n">
        <v>0</v>
      </c>
      <c r="AO11" s="3" t="n">
        <v>0</v>
      </c>
      <c r="AP11" s="3" t="s">
        <v>69</v>
      </c>
      <c r="AQ11" s="4" t="n">
        <v>0</v>
      </c>
      <c r="AR11" s="3" t="s">
        <v>69</v>
      </c>
      <c r="AS11" s="4" t="n">
        <v>0</v>
      </c>
      <c r="AT11" s="3" t="s">
        <v>101</v>
      </c>
      <c r="AU11" s="4" t="n">
        <v>300000</v>
      </c>
      <c r="AV11" s="3" t="s">
        <v>71</v>
      </c>
      <c r="AW11" s="3" t="s">
        <v>72</v>
      </c>
      <c r="AX11" s="3" t="s">
        <v>73</v>
      </c>
      <c r="AY11" s="3" t="s">
        <v>74</v>
      </c>
    </row>
    <row r="12" customFormat="false" ht="15" hidden="false" customHeight="false" outlineLevel="0" collapsed="false">
      <c r="A12" s="3" t="s">
        <v>170</v>
      </c>
      <c r="B12" s="3" t="s">
        <v>52</v>
      </c>
      <c r="C12" s="3" t="s">
        <v>171</v>
      </c>
      <c r="D12" s="3" t="s">
        <v>172</v>
      </c>
      <c r="E12" s="3" t="s">
        <v>173</v>
      </c>
      <c r="F12" s="3" t="s">
        <v>174</v>
      </c>
      <c r="G12" s="3" t="s">
        <v>57</v>
      </c>
      <c r="H12" s="3" t="s">
        <v>81</v>
      </c>
      <c r="I12" s="3" t="s">
        <v>82</v>
      </c>
      <c r="J12" s="3" t="n">
        <v>400013</v>
      </c>
      <c r="K12" s="3" t="s">
        <v>175</v>
      </c>
      <c r="L12" s="3" t="s">
        <v>61</v>
      </c>
      <c r="M12" s="3" t="s">
        <v>62</v>
      </c>
      <c r="N12" s="3" t="s">
        <v>176</v>
      </c>
      <c r="O12" s="3" t="s">
        <v>177</v>
      </c>
      <c r="P12" s="3" t="s">
        <v>65</v>
      </c>
      <c r="Q12" s="3" t="s">
        <v>81</v>
      </c>
      <c r="R12" s="3" t="s">
        <v>66</v>
      </c>
      <c r="S12" s="3" t="s">
        <v>87</v>
      </c>
      <c r="T12" s="3" t="n">
        <v>0</v>
      </c>
      <c r="U12" s="3" t="n">
        <v>90</v>
      </c>
      <c r="V12" s="3" t="s">
        <v>68</v>
      </c>
      <c r="W12" s="4" t="n">
        <v>4500000</v>
      </c>
      <c r="X12" s="5" t="n">
        <v>0.2</v>
      </c>
      <c r="Y12" s="6" t="n">
        <f aca="false">ROUND(W12*X12,0)</f>
        <v>900000</v>
      </c>
      <c r="Z12" s="6" t="n">
        <f aca="false">W12-Y12</f>
        <v>3600000</v>
      </c>
      <c r="AA12" s="6" t="n">
        <f aca="false">ROUND(Z12*Assumptions!$B$3,0)</f>
        <v>1440000</v>
      </c>
      <c r="AB12" s="6" t="n">
        <f aca="false">ROUND(AA12*Assumptions!$B$4,0)</f>
        <v>720000</v>
      </c>
      <c r="AC12" s="6" t="n">
        <f aca="false">Assumptions!$B$5</f>
        <v>19200</v>
      </c>
      <c r="AD12" s="6" t="n">
        <f aca="false">Assumptions!$B$6</f>
        <v>15000</v>
      </c>
      <c r="AE12" s="6" t="n">
        <f aca="false">ROUND(AA12*Assumptions!$B$7,0)</f>
        <v>115200</v>
      </c>
      <c r="AF12" s="6" t="n">
        <f aca="false">Z12-AA12-AB12-AC12-AD12-AE12-AG12-AH12</f>
        <v>1048536</v>
      </c>
      <c r="AG12" s="6" t="n">
        <f aca="false">ROUND(AA12*Assumptions!$B$8,0)</f>
        <v>172800</v>
      </c>
      <c r="AH12" s="6" t="n">
        <f aca="false">ROUND(AA12*Assumptions!$B$9,0)</f>
        <v>69264</v>
      </c>
      <c r="AI12" s="6" t="n">
        <f aca="false">ROUND((Z12-AG12-AH12)/12,0)</f>
        <v>279828</v>
      </c>
      <c r="AJ12" s="4" t="n">
        <v>750000</v>
      </c>
      <c r="AK12" s="3" t="n">
        <v>18</v>
      </c>
      <c r="AL12" s="4" t="n">
        <v>1000000</v>
      </c>
      <c r="AM12" s="3" t="n">
        <v>24</v>
      </c>
      <c r="AN12" s="3" t="n">
        <v>2000</v>
      </c>
      <c r="AO12" s="3" t="n">
        <v>4</v>
      </c>
      <c r="AP12" s="3" t="s">
        <v>88</v>
      </c>
      <c r="AQ12" s="4" t="n">
        <v>300000</v>
      </c>
      <c r="AR12" s="3" t="s">
        <v>69</v>
      </c>
      <c r="AS12" s="4" t="n">
        <v>0</v>
      </c>
      <c r="AT12" s="3" t="s">
        <v>70</v>
      </c>
      <c r="AU12" s="4" t="n">
        <v>2000000</v>
      </c>
      <c r="AV12" s="3" t="s">
        <v>71</v>
      </c>
      <c r="AW12" s="3" t="s">
        <v>72</v>
      </c>
      <c r="AX12" s="3" t="s">
        <v>73</v>
      </c>
      <c r="AY12" s="3" t="s">
        <v>74</v>
      </c>
    </row>
    <row r="13" customFormat="false" ht="15" hidden="false" customHeight="false" outlineLevel="0" collapsed="false">
      <c r="A13" s="3" t="s">
        <v>178</v>
      </c>
      <c r="B13" s="3" t="s">
        <v>76</v>
      </c>
      <c r="C13" s="3" t="s">
        <v>179</v>
      </c>
      <c r="D13" s="3" t="s">
        <v>180</v>
      </c>
      <c r="E13" s="3" t="s">
        <v>181</v>
      </c>
      <c r="F13" s="3" t="s">
        <v>182</v>
      </c>
      <c r="G13" s="3" t="s">
        <v>57</v>
      </c>
      <c r="H13" s="3" t="s">
        <v>183</v>
      </c>
      <c r="I13" s="3" t="s">
        <v>59</v>
      </c>
      <c r="J13" s="3" t="n">
        <v>400014</v>
      </c>
      <c r="K13" s="3" t="s">
        <v>184</v>
      </c>
      <c r="L13" s="3" t="s">
        <v>61</v>
      </c>
      <c r="M13" s="3" t="s">
        <v>62</v>
      </c>
      <c r="N13" s="3" t="s">
        <v>185</v>
      </c>
      <c r="O13" s="3" t="s">
        <v>64</v>
      </c>
      <c r="P13" s="3" t="s">
        <v>186</v>
      </c>
      <c r="Q13" s="3" t="s">
        <v>183</v>
      </c>
      <c r="R13" s="3" t="s">
        <v>66</v>
      </c>
      <c r="S13" s="3" t="s">
        <v>100</v>
      </c>
      <c r="T13" s="3" t="n">
        <v>6</v>
      </c>
      <c r="U13" s="3" t="n">
        <v>60</v>
      </c>
      <c r="V13" s="3" t="s">
        <v>68</v>
      </c>
      <c r="W13" s="4" t="n">
        <v>1350000</v>
      </c>
      <c r="X13" s="5" t="n">
        <v>0.05</v>
      </c>
      <c r="Y13" s="6" t="n">
        <f aca="false">ROUND(W13*X13,0)</f>
        <v>67500</v>
      </c>
      <c r="Z13" s="6" t="n">
        <f aca="false">W13-Y13</f>
        <v>1282500</v>
      </c>
      <c r="AA13" s="6" t="n">
        <f aca="false">ROUND(Z13*Assumptions!$B$3,0)</f>
        <v>513000</v>
      </c>
      <c r="AB13" s="6" t="n">
        <f aca="false">ROUND(AA13*Assumptions!$B$4,0)</f>
        <v>256500</v>
      </c>
      <c r="AC13" s="6" t="n">
        <f aca="false">Assumptions!$B$5</f>
        <v>19200</v>
      </c>
      <c r="AD13" s="6" t="n">
        <f aca="false">Assumptions!$B$6</f>
        <v>15000</v>
      </c>
      <c r="AE13" s="6" t="n">
        <f aca="false">ROUND(AA13*Assumptions!$B$7,0)</f>
        <v>41040</v>
      </c>
      <c r="AF13" s="6" t="n">
        <f aca="false">Z13-AA13-AB13-AC13-AD13-AE13-AG13-AH13</f>
        <v>351525</v>
      </c>
      <c r="AG13" s="6" t="n">
        <f aca="false">ROUND(AA13*Assumptions!$B$8,0)</f>
        <v>61560</v>
      </c>
      <c r="AH13" s="6" t="n">
        <f aca="false">ROUND(AA13*Assumptions!$B$9,0)</f>
        <v>24675</v>
      </c>
      <c r="AI13" s="6" t="n">
        <f aca="false">ROUND((Z13-AG13-AH13)/12,0)</f>
        <v>99689</v>
      </c>
      <c r="AJ13" s="4" t="n">
        <v>0</v>
      </c>
      <c r="AK13" s="3" t="n">
        <v>0</v>
      </c>
      <c r="AL13" s="4" t="n">
        <v>0</v>
      </c>
      <c r="AM13" s="3" t="n">
        <v>0</v>
      </c>
      <c r="AN13" s="3" t="n">
        <v>0</v>
      </c>
      <c r="AO13" s="3" t="n">
        <v>0</v>
      </c>
      <c r="AP13" s="3" t="s">
        <v>88</v>
      </c>
      <c r="AQ13" s="4" t="n">
        <v>80000</v>
      </c>
      <c r="AR13" s="3" t="s">
        <v>69</v>
      </c>
      <c r="AS13" s="4" t="n">
        <v>0</v>
      </c>
      <c r="AT13" s="3" t="s">
        <v>70</v>
      </c>
      <c r="AU13" s="4" t="n">
        <v>500000</v>
      </c>
      <c r="AV13" s="3" t="s">
        <v>71</v>
      </c>
      <c r="AW13" s="3" t="s">
        <v>72</v>
      </c>
      <c r="AX13" s="3" t="s">
        <v>73</v>
      </c>
      <c r="AY13" s="3" t="s">
        <v>74</v>
      </c>
    </row>
    <row r="14" customFormat="false" ht="15" hidden="false" customHeight="false" outlineLevel="0" collapsed="false">
      <c r="A14" s="3" t="s">
        <v>187</v>
      </c>
      <c r="B14" s="3" t="s">
        <v>52</v>
      </c>
      <c r="C14" s="3" t="s">
        <v>188</v>
      </c>
      <c r="D14" s="3" t="s">
        <v>189</v>
      </c>
      <c r="E14" s="3" t="s">
        <v>190</v>
      </c>
      <c r="F14" s="3" t="s">
        <v>191</v>
      </c>
      <c r="G14" s="3" t="s">
        <v>57</v>
      </c>
      <c r="H14" s="3" t="s">
        <v>58</v>
      </c>
      <c r="I14" s="3" t="s">
        <v>59</v>
      </c>
      <c r="J14" s="3" t="n">
        <v>400015</v>
      </c>
      <c r="K14" s="3" t="s">
        <v>192</v>
      </c>
      <c r="L14" s="3" t="s">
        <v>61</v>
      </c>
      <c r="M14" s="3" t="s">
        <v>62</v>
      </c>
      <c r="N14" s="3" t="s">
        <v>193</v>
      </c>
      <c r="O14" s="3" t="s">
        <v>194</v>
      </c>
      <c r="P14" s="3" t="s">
        <v>195</v>
      </c>
      <c r="Q14" s="3" t="s">
        <v>58</v>
      </c>
      <c r="R14" s="3" t="s">
        <v>124</v>
      </c>
      <c r="S14" s="3" t="s">
        <v>125</v>
      </c>
      <c r="T14" s="3" t="n">
        <v>3</v>
      </c>
      <c r="U14" s="3" t="n">
        <v>30</v>
      </c>
      <c r="V14" s="3" t="s">
        <v>68</v>
      </c>
      <c r="W14" s="4" t="n">
        <v>550000</v>
      </c>
      <c r="X14" s="5" t="n">
        <v>0</v>
      </c>
      <c r="Y14" s="6" t="n">
        <f aca="false">ROUND(W14*X14,0)</f>
        <v>0</v>
      </c>
      <c r="Z14" s="6" t="n">
        <f aca="false">W14-Y14</f>
        <v>550000</v>
      </c>
      <c r="AA14" s="6" t="n">
        <f aca="false">ROUND(Z14*Assumptions!$B$3,0)</f>
        <v>220000</v>
      </c>
      <c r="AB14" s="6" t="n">
        <f aca="false">ROUND(AA14*Assumptions!$B$4,0)</f>
        <v>110000</v>
      </c>
      <c r="AC14" s="6" t="n">
        <f aca="false">Assumptions!$B$5</f>
        <v>19200</v>
      </c>
      <c r="AD14" s="6" t="n">
        <f aca="false">Assumptions!$B$6</f>
        <v>15000</v>
      </c>
      <c r="AE14" s="6" t="n">
        <f aca="false">ROUND(AA14*Assumptions!$B$7,0)</f>
        <v>17600</v>
      </c>
      <c r="AF14" s="6" t="n">
        <f aca="false">Z14-AA14-AB14-AC14-AD14-AE14-AG14-AH14</f>
        <v>131218</v>
      </c>
      <c r="AG14" s="6" t="n">
        <f aca="false">ROUND(AA14*Assumptions!$B$8,0)</f>
        <v>26400</v>
      </c>
      <c r="AH14" s="6" t="n">
        <f aca="false">ROUND(AA14*Assumptions!$B$9,0)</f>
        <v>10582</v>
      </c>
      <c r="AI14" s="6" t="n">
        <f aca="false">ROUND((Z14-AG14-AH14)/12,0)</f>
        <v>42752</v>
      </c>
      <c r="AJ14" s="4" t="n">
        <v>0</v>
      </c>
      <c r="AK14" s="3" t="n">
        <v>0</v>
      </c>
      <c r="AL14" s="4" t="n">
        <v>0</v>
      </c>
      <c r="AM14" s="3" t="n">
        <v>0</v>
      </c>
      <c r="AN14" s="3" t="n">
        <v>0</v>
      </c>
      <c r="AO14" s="3" t="n">
        <v>0</v>
      </c>
      <c r="AP14" s="3" t="s">
        <v>69</v>
      </c>
      <c r="AQ14" s="4" t="n">
        <v>0</v>
      </c>
      <c r="AR14" s="3" t="s">
        <v>88</v>
      </c>
      <c r="AS14" s="4" t="n">
        <v>4500</v>
      </c>
      <c r="AT14" s="3" t="s">
        <v>101</v>
      </c>
      <c r="AU14" s="4" t="n">
        <v>200000</v>
      </c>
      <c r="AV14" s="3" t="s">
        <v>71</v>
      </c>
      <c r="AW14" s="3" t="s">
        <v>72</v>
      </c>
      <c r="AX14" s="3" t="s">
        <v>73</v>
      </c>
      <c r="AY14" s="3" t="s">
        <v>74</v>
      </c>
    </row>
    <row r="15" customFormat="false" ht="15" hidden="false" customHeight="false" outlineLevel="0" collapsed="false">
      <c r="A15" s="3" t="s">
        <v>196</v>
      </c>
      <c r="B15" s="3" t="s">
        <v>76</v>
      </c>
      <c r="C15" s="3" t="s">
        <v>197</v>
      </c>
      <c r="D15" s="3" t="s">
        <v>198</v>
      </c>
      <c r="E15" s="3" t="s">
        <v>199</v>
      </c>
      <c r="F15" s="3" t="s">
        <v>200</v>
      </c>
      <c r="G15" s="3" t="s">
        <v>57</v>
      </c>
      <c r="H15" s="3" t="s">
        <v>94</v>
      </c>
      <c r="I15" s="3" t="s">
        <v>95</v>
      </c>
      <c r="J15" s="3" t="n">
        <v>400016</v>
      </c>
      <c r="K15" s="3" t="s">
        <v>201</v>
      </c>
      <c r="L15" s="3" t="s">
        <v>61</v>
      </c>
      <c r="M15" s="3" t="s">
        <v>62</v>
      </c>
      <c r="N15" s="3" t="s">
        <v>202</v>
      </c>
      <c r="O15" s="3" t="s">
        <v>85</v>
      </c>
      <c r="P15" s="3" t="s">
        <v>86</v>
      </c>
      <c r="Q15" s="3" t="s">
        <v>94</v>
      </c>
      <c r="R15" s="3" t="s">
        <v>66</v>
      </c>
      <c r="S15" s="3" t="s">
        <v>87</v>
      </c>
      <c r="T15" s="3" t="n">
        <v>3</v>
      </c>
      <c r="U15" s="3" t="n">
        <v>90</v>
      </c>
      <c r="V15" s="3" t="s">
        <v>68</v>
      </c>
      <c r="W15" s="4" t="n">
        <v>2100000</v>
      </c>
      <c r="X15" s="5" t="n">
        <v>0.1</v>
      </c>
      <c r="Y15" s="6" t="n">
        <f aca="false">ROUND(W15*X15,0)</f>
        <v>210000</v>
      </c>
      <c r="Z15" s="6" t="n">
        <f aca="false">W15-Y15</f>
        <v>1890000</v>
      </c>
      <c r="AA15" s="6" t="n">
        <f aca="false">ROUND(Z15*Assumptions!$B$3,0)</f>
        <v>756000</v>
      </c>
      <c r="AB15" s="6" t="n">
        <f aca="false">ROUND(AA15*Assumptions!$B$4,0)</f>
        <v>378000</v>
      </c>
      <c r="AC15" s="6" t="n">
        <f aca="false">Assumptions!$B$5</f>
        <v>19200</v>
      </c>
      <c r="AD15" s="6" t="n">
        <f aca="false">Assumptions!$B$6</f>
        <v>15000</v>
      </c>
      <c r="AE15" s="6" t="n">
        <f aca="false">ROUND(AA15*Assumptions!$B$7,0)</f>
        <v>60480</v>
      </c>
      <c r="AF15" s="6" t="n">
        <f aca="false">Z15-AA15-AB15-AC15-AD15-AE15-AG15-AH15</f>
        <v>534236</v>
      </c>
      <c r="AG15" s="6" t="n">
        <f aca="false">ROUND(AA15*Assumptions!$B$8,0)</f>
        <v>90720</v>
      </c>
      <c r="AH15" s="6" t="n">
        <f aca="false">ROUND(AA15*Assumptions!$B$9,0)</f>
        <v>36364</v>
      </c>
      <c r="AI15" s="6" t="n">
        <f aca="false">ROUND((Z15-AG15-AH15)/12,0)</f>
        <v>146910</v>
      </c>
      <c r="AJ15" s="4" t="n">
        <v>200000</v>
      </c>
      <c r="AK15" s="3" t="n">
        <v>12</v>
      </c>
      <c r="AL15" s="4" t="n">
        <v>250000</v>
      </c>
      <c r="AM15" s="3" t="n">
        <v>12</v>
      </c>
      <c r="AN15" s="3" t="n">
        <v>600</v>
      </c>
      <c r="AO15" s="3" t="n">
        <v>4</v>
      </c>
      <c r="AP15" s="3" t="s">
        <v>69</v>
      </c>
      <c r="AQ15" s="4" t="n">
        <v>0</v>
      </c>
      <c r="AR15" s="3" t="s">
        <v>69</v>
      </c>
      <c r="AS15" s="4" t="n">
        <v>0</v>
      </c>
      <c r="AT15" s="3" t="s">
        <v>70</v>
      </c>
      <c r="AU15" s="4" t="n">
        <v>1000000</v>
      </c>
      <c r="AV15" s="3" t="s">
        <v>71</v>
      </c>
      <c r="AW15" s="3" t="s">
        <v>72</v>
      </c>
      <c r="AX15" s="3" t="s">
        <v>73</v>
      </c>
      <c r="AY15" s="3" t="s">
        <v>74</v>
      </c>
    </row>
    <row r="16" customFormat="false" ht="15" hidden="false" customHeight="false" outlineLevel="0" collapsed="false">
      <c r="A16" s="3" t="s">
        <v>203</v>
      </c>
      <c r="B16" s="3" t="s">
        <v>52</v>
      </c>
      <c r="C16" s="3" t="s">
        <v>204</v>
      </c>
      <c r="D16" s="3" t="s">
        <v>205</v>
      </c>
      <c r="E16" s="3" t="s">
        <v>206</v>
      </c>
      <c r="F16" s="3" t="s">
        <v>207</v>
      </c>
      <c r="G16" s="3" t="s">
        <v>57</v>
      </c>
      <c r="H16" s="3" t="s">
        <v>119</v>
      </c>
      <c r="I16" s="3" t="s">
        <v>120</v>
      </c>
      <c r="J16" s="3" t="n">
        <v>400017</v>
      </c>
      <c r="K16" s="3" t="s">
        <v>208</v>
      </c>
      <c r="L16" s="3" t="s">
        <v>61</v>
      </c>
      <c r="M16" s="3" t="s">
        <v>62</v>
      </c>
      <c r="N16" s="3" t="s">
        <v>209</v>
      </c>
      <c r="O16" s="3" t="s">
        <v>64</v>
      </c>
      <c r="P16" s="3" t="s">
        <v>210</v>
      </c>
      <c r="Q16" s="3" t="s">
        <v>119</v>
      </c>
      <c r="R16" s="3" t="s">
        <v>66</v>
      </c>
      <c r="S16" s="3" t="s">
        <v>153</v>
      </c>
      <c r="T16" s="3" t="n">
        <v>6</v>
      </c>
      <c r="U16" s="3" t="n">
        <v>60</v>
      </c>
      <c r="V16" s="3" t="s">
        <v>68</v>
      </c>
      <c r="W16" s="4" t="n">
        <v>1600000</v>
      </c>
      <c r="X16" s="5" t="n">
        <v>0.07</v>
      </c>
      <c r="Y16" s="6" t="n">
        <f aca="false">ROUND(W16*X16,0)</f>
        <v>112000</v>
      </c>
      <c r="Z16" s="6" t="n">
        <f aca="false">W16-Y16</f>
        <v>1488000</v>
      </c>
      <c r="AA16" s="6" t="n">
        <f aca="false">ROUND(Z16*Assumptions!$B$3,0)</f>
        <v>595200</v>
      </c>
      <c r="AB16" s="6" t="n">
        <f aca="false">ROUND(AA16*Assumptions!$B$4,0)</f>
        <v>297600</v>
      </c>
      <c r="AC16" s="6" t="n">
        <f aca="false">Assumptions!$B$5</f>
        <v>19200</v>
      </c>
      <c r="AD16" s="6" t="n">
        <f aca="false">Assumptions!$B$6</f>
        <v>15000</v>
      </c>
      <c r="AE16" s="6" t="n">
        <f aca="false">ROUND(AA16*Assumptions!$B$7,0)</f>
        <v>47616</v>
      </c>
      <c r="AF16" s="6" t="n">
        <f aca="false">Z16-AA16-AB16-AC16-AD16-AE16-AG16-AH16</f>
        <v>413331</v>
      </c>
      <c r="AG16" s="6" t="n">
        <f aca="false">ROUND(AA16*Assumptions!$B$8,0)</f>
        <v>71424</v>
      </c>
      <c r="AH16" s="6" t="n">
        <f aca="false">ROUND(AA16*Assumptions!$B$9,0)</f>
        <v>28629</v>
      </c>
      <c r="AI16" s="6" t="n">
        <f aca="false">ROUND((Z16-AG16-AH16)/12,0)</f>
        <v>115662</v>
      </c>
      <c r="AJ16" s="4" t="n">
        <v>90000</v>
      </c>
      <c r="AK16" s="3" t="n">
        <v>12</v>
      </c>
      <c r="AL16" s="4" t="n">
        <v>0</v>
      </c>
      <c r="AM16" s="3" t="n">
        <v>0</v>
      </c>
      <c r="AN16" s="3" t="n">
        <v>0</v>
      </c>
      <c r="AO16" s="3" t="n">
        <v>0</v>
      </c>
      <c r="AP16" s="3" t="s">
        <v>88</v>
      </c>
      <c r="AQ16" s="4" t="n">
        <v>90000</v>
      </c>
      <c r="AR16" s="3" t="s">
        <v>88</v>
      </c>
      <c r="AS16" s="4" t="n">
        <v>8000</v>
      </c>
      <c r="AT16" s="3" t="s">
        <v>70</v>
      </c>
      <c r="AU16" s="4" t="n">
        <v>500000</v>
      </c>
      <c r="AV16" s="3" t="s">
        <v>71</v>
      </c>
      <c r="AW16" s="3" t="s">
        <v>72</v>
      </c>
      <c r="AX16" s="3" t="s">
        <v>73</v>
      </c>
      <c r="AY16" s="3" t="s">
        <v>74</v>
      </c>
    </row>
    <row r="17" customFormat="false" ht="15" hidden="false" customHeight="false" outlineLevel="0" collapsed="false">
      <c r="A17" s="3" t="s">
        <v>211</v>
      </c>
      <c r="B17" s="3" t="s">
        <v>76</v>
      </c>
      <c r="C17" s="3" t="s">
        <v>212</v>
      </c>
      <c r="D17" s="3" t="s">
        <v>213</v>
      </c>
      <c r="E17" s="3" t="s">
        <v>214</v>
      </c>
      <c r="F17" s="3" t="s">
        <v>215</v>
      </c>
      <c r="G17" s="3" t="s">
        <v>57</v>
      </c>
      <c r="H17" s="3" t="s">
        <v>58</v>
      </c>
      <c r="I17" s="3" t="s">
        <v>59</v>
      </c>
      <c r="J17" s="3" t="n">
        <v>400018</v>
      </c>
      <c r="K17" s="3" t="s">
        <v>216</v>
      </c>
      <c r="L17" s="3" t="s">
        <v>61</v>
      </c>
      <c r="M17" s="3" t="s">
        <v>62</v>
      </c>
      <c r="N17" s="3" t="s">
        <v>217</v>
      </c>
      <c r="O17" s="3" t="s">
        <v>98</v>
      </c>
      <c r="P17" s="3" t="s">
        <v>218</v>
      </c>
      <c r="Q17" s="3" t="s">
        <v>58</v>
      </c>
      <c r="R17" s="3" t="s">
        <v>66</v>
      </c>
      <c r="S17" s="3" t="s">
        <v>153</v>
      </c>
      <c r="T17" s="3" t="n">
        <v>6</v>
      </c>
      <c r="U17" s="3" t="n">
        <v>45</v>
      </c>
      <c r="V17" s="3" t="s">
        <v>68</v>
      </c>
      <c r="W17" s="4" t="n">
        <v>780000</v>
      </c>
      <c r="X17" s="5" t="n">
        <v>0</v>
      </c>
      <c r="Y17" s="6" t="n">
        <f aca="false">ROUND(W17*X17,0)</f>
        <v>0</v>
      </c>
      <c r="Z17" s="6" t="n">
        <f aca="false">W17-Y17</f>
        <v>780000</v>
      </c>
      <c r="AA17" s="6" t="n">
        <f aca="false">ROUND(Z17*Assumptions!$B$3,0)</f>
        <v>312000</v>
      </c>
      <c r="AB17" s="6" t="n">
        <f aca="false">ROUND(AA17*Assumptions!$B$4,0)</f>
        <v>156000</v>
      </c>
      <c r="AC17" s="6" t="n">
        <f aca="false">Assumptions!$B$5</f>
        <v>19200</v>
      </c>
      <c r="AD17" s="6" t="n">
        <f aca="false">Assumptions!$B$6</f>
        <v>15000</v>
      </c>
      <c r="AE17" s="6" t="n">
        <f aca="false">ROUND(AA17*Assumptions!$B$7,0)</f>
        <v>24960</v>
      </c>
      <c r="AF17" s="6" t="n">
        <f aca="false">Z17-AA17-AB17-AC17-AD17-AE17-AG17-AH17</f>
        <v>200393</v>
      </c>
      <c r="AG17" s="6" t="n">
        <f aca="false">ROUND(AA17*Assumptions!$B$8,0)</f>
        <v>37440</v>
      </c>
      <c r="AH17" s="6" t="n">
        <f aca="false">ROUND(AA17*Assumptions!$B$9,0)</f>
        <v>15007</v>
      </c>
      <c r="AI17" s="6" t="n">
        <f aca="false">ROUND((Z17-AG17-AH17)/12,0)</f>
        <v>60629</v>
      </c>
      <c r="AJ17" s="4" t="n">
        <v>0</v>
      </c>
      <c r="AK17" s="3" t="n">
        <v>0</v>
      </c>
      <c r="AL17" s="4" t="n">
        <v>0</v>
      </c>
      <c r="AM17" s="3" t="n">
        <v>0</v>
      </c>
      <c r="AN17" s="3" t="n">
        <v>0</v>
      </c>
      <c r="AO17" s="3" t="n">
        <v>0</v>
      </c>
      <c r="AP17" s="3" t="s">
        <v>69</v>
      </c>
      <c r="AQ17" s="4" t="n">
        <v>0</v>
      </c>
      <c r="AR17" s="3" t="s">
        <v>69</v>
      </c>
      <c r="AS17" s="4" t="n">
        <v>0</v>
      </c>
      <c r="AT17" s="3" t="s">
        <v>101</v>
      </c>
      <c r="AU17" s="4" t="n">
        <v>300000</v>
      </c>
      <c r="AV17" s="3" t="s">
        <v>71</v>
      </c>
      <c r="AW17" s="3" t="s">
        <v>72</v>
      </c>
      <c r="AX17" s="3" t="s">
        <v>73</v>
      </c>
      <c r="AY17" s="3" t="s">
        <v>74</v>
      </c>
    </row>
    <row r="18" customFormat="false" ht="15" hidden="false" customHeight="false" outlineLevel="0" collapsed="false">
      <c r="A18" s="3" t="s">
        <v>219</v>
      </c>
      <c r="B18" s="3" t="s">
        <v>52</v>
      </c>
      <c r="C18" s="3" t="s">
        <v>220</v>
      </c>
      <c r="D18" s="3" t="s">
        <v>221</v>
      </c>
      <c r="E18" s="3" t="s">
        <v>222</v>
      </c>
      <c r="F18" s="3" t="s">
        <v>223</v>
      </c>
      <c r="G18" s="3" t="s">
        <v>57</v>
      </c>
      <c r="H18" s="3" t="s">
        <v>183</v>
      </c>
      <c r="I18" s="3" t="s">
        <v>59</v>
      </c>
      <c r="J18" s="3" t="n">
        <v>400019</v>
      </c>
      <c r="K18" s="3" t="s">
        <v>224</v>
      </c>
      <c r="L18" s="3" t="s">
        <v>61</v>
      </c>
      <c r="M18" s="3" t="s">
        <v>62</v>
      </c>
      <c r="N18" s="3" t="s">
        <v>225</v>
      </c>
      <c r="O18" s="3" t="s">
        <v>111</v>
      </c>
      <c r="P18" s="3" t="s">
        <v>112</v>
      </c>
      <c r="Q18" s="3" t="s">
        <v>183</v>
      </c>
      <c r="R18" s="3" t="s">
        <v>66</v>
      </c>
      <c r="S18" s="3" t="s">
        <v>113</v>
      </c>
      <c r="T18" s="3" t="n">
        <v>0</v>
      </c>
      <c r="U18" s="3" t="n">
        <v>90</v>
      </c>
      <c r="V18" s="3" t="s">
        <v>68</v>
      </c>
      <c r="W18" s="4" t="n">
        <v>3400000</v>
      </c>
      <c r="X18" s="5" t="n">
        <v>0.15</v>
      </c>
      <c r="Y18" s="6" t="n">
        <f aca="false">ROUND(W18*X18,0)</f>
        <v>510000</v>
      </c>
      <c r="Z18" s="6" t="n">
        <f aca="false">W18-Y18</f>
        <v>2890000</v>
      </c>
      <c r="AA18" s="6" t="n">
        <f aca="false">ROUND(Z18*Assumptions!$B$3,0)</f>
        <v>1156000</v>
      </c>
      <c r="AB18" s="6" t="n">
        <f aca="false">ROUND(AA18*Assumptions!$B$4,0)</f>
        <v>578000</v>
      </c>
      <c r="AC18" s="6" t="n">
        <f aca="false">Assumptions!$B$5</f>
        <v>19200</v>
      </c>
      <c r="AD18" s="6" t="n">
        <f aca="false">Assumptions!$B$6</f>
        <v>15000</v>
      </c>
      <c r="AE18" s="6" t="n">
        <f aca="false">ROUND(AA18*Assumptions!$B$7,0)</f>
        <v>92480</v>
      </c>
      <c r="AF18" s="6" t="n">
        <f aca="false">Z18-AA18-AB18-AC18-AD18-AE18-AG18-AH18</f>
        <v>834996</v>
      </c>
      <c r="AG18" s="6" t="n">
        <f aca="false">ROUND(AA18*Assumptions!$B$8,0)</f>
        <v>138720</v>
      </c>
      <c r="AH18" s="6" t="n">
        <f aca="false">ROUND(AA18*Assumptions!$B$9,0)</f>
        <v>55604</v>
      </c>
      <c r="AI18" s="6" t="n">
        <f aca="false">ROUND((Z18-AG18-AH18)/12,0)</f>
        <v>224640</v>
      </c>
      <c r="AJ18" s="4" t="n">
        <v>450000</v>
      </c>
      <c r="AK18" s="3" t="n">
        <v>12</v>
      </c>
      <c r="AL18" s="4" t="n">
        <v>500000</v>
      </c>
      <c r="AM18" s="3" t="n">
        <v>18</v>
      </c>
      <c r="AN18" s="3" t="n">
        <v>1000</v>
      </c>
      <c r="AO18" s="3" t="n">
        <v>4</v>
      </c>
      <c r="AP18" s="3" t="s">
        <v>88</v>
      </c>
      <c r="AQ18" s="4" t="n">
        <v>200000</v>
      </c>
      <c r="AR18" s="3" t="s">
        <v>69</v>
      </c>
      <c r="AS18" s="4" t="n">
        <v>0</v>
      </c>
      <c r="AT18" s="3" t="s">
        <v>70</v>
      </c>
      <c r="AU18" s="4" t="n">
        <v>1500000</v>
      </c>
      <c r="AV18" s="3" t="s">
        <v>71</v>
      </c>
      <c r="AW18" s="3" t="s">
        <v>72</v>
      </c>
      <c r="AX18" s="3" t="s">
        <v>73</v>
      </c>
      <c r="AY18" s="3" t="s">
        <v>74</v>
      </c>
    </row>
    <row r="19" customFormat="false" ht="15" hidden="false" customHeight="false" outlineLevel="0" collapsed="false">
      <c r="A19" s="3" t="s">
        <v>226</v>
      </c>
      <c r="B19" s="3" t="s">
        <v>76</v>
      </c>
      <c r="C19" s="3" t="s">
        <v>227</v>
      </c>
      <c r="D19" s="3" t="s">
        <v>228</v>
      </c>
      <c r="E19" s="3" t="s">
        <v>229</v>
      </c>
      <c r="F19" s="3" t="s">
        <v>230</v>
      </c>
      <c r="G19" s="3" t="s">
        <v>57</v>
      </c>
      <c r="H19" s="3" t="s">
        <v>107</v>
      </c>
      <c r="I19" s="3" t="s">
        <v>108</v>
      </c>
      <c r="J19" s="3" t="n">
        <v>400020</v>
      </c>
      <c r="K19" s="3" t="s">
        <v>231</v>
      </c>
      <c r="L19" s="3" t="s">
        <v>61</v>
      </c>
      <c r="M19" s="3" t="s">
        <v>62</v>
      </c>
      <c r="N19" s="3" t="s">
        <v>232</v>
      </c>
      <c r="O19" s="3" t="s">
        <v>64</v>
      </c>
      <c r="P19" s="3" t="s">
        <v>86</v>
      </c>
      <c r="Q19" s="3" t="s">
        <v>107</v>
      </c>
      <c r="R19" s="3" t="s">
        <v>66</v>
      </c>
      <c r="S19" s="3" t="s">
        <v>87</v>
      </c>
      <c r="T19" s="3" t="n">
        <v>6</v>
      </c>
      <c r="U19" s="3" t="n">
        <v>60</v>
      </c>
      <c r="V19" s="3" t="s">
        <v>68</v>
      </c>
      <c r="W19" s="4" t="n">
        <v>1500000</v>
      </c>
      <c r="X19" s="5" t="n">
        <v>0.05</v>
      </c>
      <c r="Y19" s="6" t="n">
        <f aca="false">ROUND(W19*X19,0)</f>
        <v>75000</v>
      </c>
      <c r="Z19" s="6" t="n">
        <f aca="false">W19-Y19</f>
        <v>1425000</v>
      </c>
      <c r="AA19" s="6" t="n">
        <f aca="false">ROUND(Z19*Assumptions!$B$3,0)</f>
        <v>570000</v>
      </c>
      <c r="AB19" s="6" t="n">
        <f aca="false">ROUND(AA19*Assumptions!$B$4,0)</f>
        <v>285000</v>
      </c>
      <c r="AC19" s="6" t="n">
        <f aca="false">Assumptions!$B$5</f>
        <v>19200</v>
      </c>
      <c r="AD19" s="6" t="n">
        <f aca="false">Assumptions!$B$6</f>
        <v>15000</v>
      </c>
      <c r="AE19" s="6" t="n">
        <f aca="false">ROUND(AA19*Assumptions!$B$7,0)</f>
        <v>45600</v>
      </c>
      <c r="AF19" s="6" t="n">
        <f aca="false">Z19-AA19-AB19-AC19-AD19-AE19-AG19-AH19</f>
        <v>394383</v>
      </c>
      <c r="AG19" s="6" t="n">
        <f aca="false">ROUND(AA19*Assumptions!$B$8,0)</f>
        <v>68400</v>
      </c>
      <c r="AH19" s="6" t="n">
        <f aca="false">ROUND(AA19*Assumptions!$B$9,0)</f>
        <v>27417</v>
      </c>
      <c r="AI19" s="6" t="n">
        <f aca="false">ROUND((Z19-AG19-AH19)/12,0)</f>
        <v>110765</v>
      </c>
      <c r="AJ19" s="4" t="n">
        <v>110000</v>
      </c>
      <c r="AK19" s="3" t="n">
        <v>12</v>
      </c>
      <c r="AL19" s="4" t="n">
        <v>0</v>
      </c>
      <c r="AM19" s="3" t="n">
        <v>0</v>
      </c>
      <c r="AN19" s="3" t="n">
        <v>0</v>
      </c>
      <c r="AO19" s="3" t="n">
        <v>0</v>
      </c>
      <c r="AP19" s="3" t="s">
        <v>69</v>
      </c>
      <c r="AQ19" s="4" t="n">
        <v>0</v>
      </c>
      <c r="AR19" s="3" t="s">
        <v>69</v>
      </c>
      <c r="AS19" s="4" t="n">
        <v>0</v>
      </c>
      <c r="AT19" s="3" t="s">
        <v>70</v>
      </c>
      <c r="AU19" s="4" t="n">
        <v>500000</v>
      </c>
      <c r="AV19" s="3" t="s">
        <v>71</v>
      </c>
      <c r="AW19" s="3" t="s">
        <v>72</v>
      </c>
      <c r="AX19" s="3" t="s">
        <v>73</v>
      </c>
      <c r="AY19" s="3" t="s">
        <v>74</v>
      </c>
    </row>
    <row r="20" customFormat="false" ht="15" hidden="false" customHeight="false" outlineLevel="0" collapsed="false">
      <c r="A20" s="3" t="s">
        <v>233</v>
      </c>
      <c r="B20" s="3" t="s">
        <v>52</v>
      </c>
      <c r="C20" s="3" t="s">
        <v>234</v>
      </c>
      <c r="D20" s="3" t="s">
        <v>235</v>
      </c>
      <c r="E20" s="3" t="s">
        <v>236</v>
      </c>
      <c r="F20" s="3" t="s">
        <v>237</v>
      </c>
      <c r="G20" s="3" t="s">
        <v>57</v>
      </c>
      <c r="H20" s="3" t="s">
        <v>81</v>
      </c>
      <c r="I20" s="3" t="s">
        <v>82</v>
      </c>
      <c r="J20" s="3" t="n">
        <v>400021</v>
      </c>
      <c r="K20" s="3" t="s">
        <v>238</v>
      </c>
      <c r="L20" s="3" t="s">
        <v>61</v>
      </c>
      <c r="M20" s="3" t="s">
        <v>62</v>
      </c>
      <c r="N20" s="3" t="s">
        <v>239</v>
      </c>
      <c r="O20" s="3" t="s">
        <v>111</v>
      </c>
      <c r="P20" s="3" t="s">
        <v>99</v>
      </c>
      <c r="Q20" s="3" t="s">
        <v>81</v>
      </c>
      <c r="R20" s="3" t="s">
        <v>66</v>
      </c>
      <c r="S20" s="3" t="s">
        <v>136</v>
      </c>
      <c r="T20" s="3" t="n">
        <v>0</v>
      </c>
      <c r="U20" s="3" t="n">
        <v>90</v>
      </c>
      <c r="V20" s="3" t="s">
        <v>68</v>
      </c>
      <c r="W20" s="4" t="n">
        <v>3000000</v>
      </c>
      <c r="X20" s="5" t="n">
        <v>0.12</v>
      </c>
      <c r="Y20" s="6" t="n">
        <f aca="false">ROUND(W20*X20,0)</f>
        <v>360000</v>
      </c>
      <c r="Z20" s="6" t="n">
        <f aca="false">W20-Y20</f>
        <v>2640000</v>
      </c>
      <c r="AA20" s="6" t="n">
        <f aca="false">ROUND(Z20*Assumptions!$B$3,0)</f>
        <v>1056000</v>
      </c>
      <c r="AB20" s="6" t="n">
        <f aca="false">ROUND(AA20*Assumptions!$B$4,0)</f>
        <v>528000</v>
      </c>
      <c r="AC20" s="6" t="n">
        <f aca="false">Assumptions!$B$5</f>
        <v>19200</v>
      </c>
      <c r="AD20" s="6" t="n">
        <f aca="false">Assumptions!$B$6</f>
        <v>15000</v>
      </c>
      <c r="AE20" s="6" t="n">
        <f aca="false">ROUND(AA20*Assumptions!$B$7,0)</f>
        <v>84480</v>
      </c>
      <c r="AF20" s="6" t="n">
        <f aca="false">Z20-AA20-AB20-AC20-AD20-AE20-AG20-AH20</f>
        <v>759806</v>
      </c>
      <c r="AG20" s="6" t="n">
        <f aca="false">ROUND(AA20*Assumptions!$B$8,0)</f>
        <v>126720</v>
      </c>
      <c r="AH20" s="6" t="n">
        <f aca="false">ROUND(AA20*Assumptions!$B$9,0)</f>
        <v>50794</v>
      </c>
      <c r="AI20" s="6" t="n">
        <f aca="false">ROUND((Z20-AG20-AH20)/12,0)</f>
        <v>205207</v>
      </c>
      <c r="AJ20" s="4" t="n">
        <v>300000</v>
      </c>
      <c r="AK20" s="3" t="n">
        <v>12</v>
      </c>
      <c r="AL20" s="4" t="n">
        <v>350000</v>
      </c>
      <c r="AM20" s="3" t="n">
        <v>18</v>
      </c>
      <c r="AN20" s="3" t="n">
        <v>800</v>
      </c>
      <c r="AO20" s="3" t="n">
        <v>4</v>
      </c>
      <c r="AP20" s="3" t="s">
        <v>88</v>
      </c>
      <c r="AQ20" s="4" t="n">
        <v>180000</v>
      </c>
      <c r="AR20" s="3" t="s">
        <v>69</v>
      </c>
      <c r="AS20" s="4" t="n">
        <v>0</v>
      </c>
      <c r="AT20" s="3" t="s">
        <v>70</v>
      </c>
      <c r="AU20" s="4" t="n">
        <v>1500000</v>
      </c>
      <c r="AV20" s="3" t="s">
        <v>71</v>
      </c>
      <c r="AW20" s="3" t="s">
        <v>72</v>
      </c>
      <c r="AX20" s="3" t="s">
        <v>73</v>
      </c>
      <c r="AY20" s="3" t="s">
        <v>74</v>
      </c>
    </row>
    <row r="21" customFormat="false" ht="15" hidden="false" customHeight="false" outlineLevel="0" collapsed="false">
      <c r="A21" s="3" t="s">
        <v>240</v>
      </c>
      <c r="B21" s="3" t="s">
        <v>76</v>
      </c>
      <c r="C21" s="3" t="s">
        <v>241</v>
      </c>
      <c r="D21" s="3" t="s">
        <v>242</v>
      </c>
      <c r="E21" s="3" t="s">
        <v>243</v>
      </c>
      <c r="F21" s="3" t="s">
        <v>244</v>
      </c>
      <c r="G21" s="3" t="s">
        <v>57</v>
      </c>
      <c r="H21" s="3" t="s">
        <v>119</v>
      </c>
      <c r="I21" s="3" t="s">
        <v>120</v>
      </c>
      <c r="J21" s="3" t="n">
        <v>400022</v>
      </c>
      <c r="K21" s="3" t="s">
        <v>245</v>
      </c>
      <c r="L21" s="3" t="s">
        <v>61</v>
      </c>
      <c r="M21" s="3" t="s">
        <v>62</v>
      </c>
      <c r="N21" s="3" t="s">
        <v>246</v>
      </c>
      <c r="O21" s="3" t="s">
        <v>194</v>
      </c>
      <c r="P21" s="3" t="s">
        <v>65</v>
      </c>
      <c r="Q21" s="3" t="s">
        <v>119</v>
      </c>
      <c r="R21" s="3" t="s">
        <v>66</v>
      </c>
      <c r="S21" s="3" t="s">
        <v>125</v>
      </c>
      <c r="T21" s="3" t="n">
        <v>6</v>
      </c>
      <c r="U21" s="3" t="n">
        <v>30</v>
      </c>
      <c r="V21" s="3" t="s">
        <v>68</v>
      </c>
      <c r="W21" s="4" t="n">
        <v>600000</v>
      </c>
      <c r="X21" s="5" t="n">
        <v>0</v>
      </c>
      <c r="Y21" s="6" t="n">
        <f aca="false">ROUND(W21*X21,0)</f>
        <v>0</v>
      </c>
      <c r="Z21" s="6" t="n">
        <f aca="false">W21-Y21</f>
        <v>600000</v>
      </c>
      <c r="AA21" s="6" t="n">
        <f aca="false">ROUND(Z21*Assumptions!$B$3,0)</f>
        <v>240000</v>
      </c>
      <c r="AB21" s="6" t="n">
        <f aca="false">ROUND(AA21*Assumptions!$B$4,0)</f>
        <v>120000</v>
      </c>
      <c r="AC21" s="6" t="n">
        <f aca="false">Assumptions!$B$5</f>
        <v>19200</v>
      </c>
      <c r="AD21" s="6" t="n">
        <f aca="false">Assumptions!$B$6</f>
        <v>15000</v>
      </c>
      <c r="AE21" s="6" t="n">
        <f aca="false">ROUND(AA21*Assumptions!$B$7,0)</f>
        <v>19200</v>
      </c>
      <c r="AF21" s="6" t="n">
        <f aca="false">Z21-AA21-AB21-AC21-AD21-AE21-AG21-AH21</f>
        <v>146256</v>
      </c>
      <c r="AG21" s="6" t="n">
        <f aca="false">ROUND(AA21*Assumptions!$B$8,0)</f>
        <v>28800</v>
      </c>
      <c r="AH21" s="6" t="n">
        <f aca="false">ROUND(AA21*Assumptions!$B$9,0)</f>
        <v>11544</v>
      </c>
      <c r="AI21" s="6" t="n">
        <f aca="false">ROUND((Z21-AG21-AH21)/12,0)</f>
        <v>46638</v>
      </c>
      <c r="AJ21" s="4" t="n">
        <v>50000</v>
      </c>
      <c r="AK21" s="3" t="n">
        <v>12</v>
      </c>
      <c r="AL21" s="4" t="n">
        <v>0</v>
      </c>
      <c r="AM21" s="3" t="n">
        <v>0</v>
      </c>
      <c r="AN21" s="3" t="n">
        <v>0</v>
      </c>
      <c r="AO21" s="3" t="n">
        <v>0</v>
      </c>
      <c r="AP21" s="3" t="s">
        <v>69</v>
      </c>
      <c r="AQ21" s="4" t="n">
        <v>0</v>
      </c>
      <c r="AR21" s="3" t="s">
        <v>69</v>
      </c>
      <c r="AS21" s="4" t="n">
        <v>0</v>
      </c>
      <c r="AT21" s="3" t="s">
        <v>101</v>
      </c>
      <c r="AU21" s="4" t="n">
        <v>200000</v>
      </c>
      <c r="AV21" s="3" t="s">
        <v>71</v>
      </c>
      <c r="AW21" s="3" t="s">
        <v>72</v>
      </c>
      <c r="AX21" s="3" t="s">
        <v>73</v>
      </c>
      <c r="AY21" s="3" t="s">
        <v>74</v>
      </c>
    </row>
  </sheetData>
  <autoFilter ref="A1:AY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7" t="s">
        <v>247</v>
      </c>
    </row>
    <row r="2" customFormat="false" ht="15" hidden="false" customHeight="false" outlineLevel="0" collapsed="false">
      <c r="A2" s="8" t="s">
        <v>248</v>
      </c>
      <c r="B2" s="8" t="s">
        <v>249</v>
      </c>
      <c r="C2" s="8" t="s">
        <v>250</v>
      </c>
    </row>
    <row r="3" customFormat="false" ht="15" hidden="false" customHeight="false" outlineLevel="0" collapsed="false">
      <c r="A3" s="9" t="s">
        <v>251</v>
      </c>
      <c r="B3" s="10" t="n">
        <v>0.4</v>
      </c>
      <c r="C3" s="11" t="s">
        <v>252</v>
      </c>
    </row>
    <row r="4" customFormat="false" ht="15" hidden="false" customHeight="false" outlineLevel="0" collapsed="false">
      <c r="A4" s="9" t="s">
        <v>253</v>
      </c>
      <c r="B4" s="10" t="n">
        <v>0.5</v>
      </c>
      <c r="C4" s="11" t="s">
        <v>252</v>
      </c>
    </row>
    <row r="5" customFormat="false" ht="15" hidden="false" customHeight="false" outlineLevel="0" collapsed="false">
      <c r="A5" s="9" t="s">
        <v>254</v>
      </c>
      <c r="B5" s="12" t="n">
        <v>19200</v>
      </c>
      <c r="C5" s="11" t="s">
        <v>252</v>
      </c>
    </row>
    <row r="6" customFormat="false" ht="15" hidden="false" customHeight="false" outlineLevel="0" collapsed="false">
      <c r="A6" s="9" t="s">
        <v>255</v>
      </c>
      <c r="B6" s="12" t="n">
        <v>15000</v>
      </c>
      <c r="C6" s="11" t="s">
        <v>252</v>
      </c>
    </row>
    <row r="7" customFormat="false" ht="15" hidden="false" customHeight="false" outlineLevel="0" collapsed="false">
      <c r="A7" s="9" t="s">
        <v>256</v>
      </c>
      <c r="B7" s="10" t="n">
        <v>0.08</v>
      </c>
      <c r="C7" s="11" t="s">
        <v>252</v>
      </c>
    </row>
    <row r="8" customFormat="false" ht="15" hidden="false" customHeight="false" outlineLevel="0" collapsed="false">
      <c r="A8" s="9" t="s">
        <v>257</v>
      </c>
      <c r="B8" s="10" t="n">
        <v>0.12</v>
      </c>
      <c r="C8" s="11" t="s">
        <v>258</v>
      </c>
    </row>
    <row r="9" customFormat="false" ht="15" hidden="false" customHeight="false" outlineLevel="0" collapsed="false">
      <c r="A9" s="9" t="s">
        <v>259</v>
      </c>
      <c r="B9" s="10" t="n">
        <v>0.0481</v>
      </c>
      <c r="C9" s="11" t="s">
        <v>260</v>
      </c>
    </row>
    <row r="12" customFormat="false" ht="15" hidden="false" customHeight="false" outlineLevel="0" collapsed="false">
      <c r="A12" s="7" t="s">
        <v>261</v>
      </c>
    </row>
    <row r="13" customFormat="false" ht="15" hidden="false" customHeight="false" outlineLevel="0" collapsed="false">
      <c r="A13" s="13" t="s">
        <v>262</v>
      </c>
      <c r="B13" s="9" t="s">
        <v>263</v>
      </c>
    </row>
    <row r="14" customFormat="false" ht="15" hidden="false" customHeight="false" outlineLevel="0" collapsed="false">
      <c r="A14" s="14" t="s">
        <v>264</v>
      </c>
      <c r="B14" s="9" t="s">
        <v>265</v>
      </c>
    </row>
    <row r="15" customFormat="false" ht="15" hidden="false" customHeight="false" outlineLevel="0" collapsed="false">
      <c r="A15" s="14" t="s">
        <v>266</v>
      </c>
      <c r="B15" s="9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78"/>
  </cols>
  <sheetData>
    <row r="1" customFormat="false" ht="15" hidden="false" customHeight="false" outlineLevel="0" collapsed="false">
      <c r="A1" s="15" t="s">
        <v>268</v>
      </c>
      <c r="B1" s="15" t="s">
        <v>269</v>
      </c>
      <c r="C1" s="15" t="s">
        <v>270</v>
      </c>
      <c r="D1" s="15" t="s">
        <v>271</v>
      </c>
    </row>
    <row r="2" customFormat="false" ht="15" hidden="false" customHeight="false" outlineLevel="0" collapsed="false">
      <c r="A2" s="16" t="s">
        <v>272</v>
      </c>
      <c r="B2" s="16" t="s">
        <v>273</v>
      </c>
      <c r="C2" s="17" t="s">
        <v>1</v>
      </c>
      <c r="D2" s="17" t="s">
        <v>274</v>
      </c>
    </row>
    <row r="3" customFormat="false" ht="15" hidden="false" customHeight="false" outlineLevel="0" collapsed="false">
      <c r="A3" s="16" t="s">
        <v>275</v>
      </c>
      <c r="B3" s="16" t="s">
        <v>273</v>
      </c>
      <c r="C3" s="17" t="s">
        <v>2</v>
      </c>
      <c r="D3" s="17" t="s">
        <v>274</v>
      </c>
    </row>
    <row r="4" customFormat="false" ht="15" hidden="false" customHeight="false" outlineLevel="0" collapsed="false">
      <c r="A4" s="16" t="s">
        <v>276</v>
      </c>
      <c r="B4" s="16" t="s">
        <v>273</v>
      </c>
      <c r="C4" s="17" t="s">
        <v>3</v>
      </c>
      <c r="D4" s="17" t="s">
        <v>274</v>
      </c>
    </row>
    <row r="5" customFormat="false" ht="15" hidden="false" customHeight="false" outlineLevel="0" collapsed="false">
      <c r="A5" s="16" t="s">
        <v>277</v>
      </c>
      <c r="B5" s="16" t="s">
        <v>273</v>
      </c>
      <c r="C5" s="17" t="s">
        <v>5</v>
      </c>
      <c r="D5" s="17" t="s">
        <v>274</v>
      </c>
    </row>
    <row r="6" customFormat="false" ht="15" hidden="false" customHeight="false" outlineLevel="0" collapsed="false">
      <c r="A6" s="16" t="s">
        <v>278</v>
      </c>
      <c r="B6" s="16" t="s">
        <v>273</v>
      </c>
      <c r="C6" s="17" t="s">
        <v>6</v>
      </c>
      <c r="D6" s="17" t="s">
        <v>279</v>
      </c>
    </row>
    <row r="7" customFormat="false" ht="15" hidden="false" customHeight="false" outlineLevel="0" collapsed="false">
      <c r="A7" s="16" t="s">
        <v>280</v>
      </c>
      <c r="B7" s="16" t="s">
        <v>273</v>
      </c>
      <c r="C7" s="17" t="s">
        <v>7</v>
      </c>
      <c r="D7" s="17" t="s">
        <v>274</v>
      </c>
    </row>
    <row r="8" customFormat="false" ht="15" hidden="false" customHeight="false" outlineLevel="0" collapsed="false">
      <c r="A8" s="16" t="s">
        <v>281</v>
      </c>
      <c r="B8" s="16" t="s">
        <v>273</v>
      </c>
      <c r="C8" s="17" t="s">
        <v>8</v>
      </c>
      <c r="D8" s="17" t="s">
        <v>274</v>
      </c>
    </row>
    <row r="9" customFormat="false" ht="15" hidden="false" customHeight="false" outlineLevel="0" collapsed="false">
      <c r="A9" s="16" t="s">
        <v>282</v>
      </c>
      <c r="B9" s="16" t="s">
        <v>273</v>
      </c>
      <c r="C9" s="17" t="s">
        <v>9</v>
      </c>
      <c r="D9" s="17" t="s">
        <v>274</v>
      </c>
    </row>
    <row r="10" customFormat="false" ht="15" hidden="false" customHeight="false" outlineLevel="0" collapsed="false">
      <c r="A10" s="16" t="s">
        <v>283</v>
      </c>
      <c r="B10" s="16" t="s">
        <v>273</v>
      </c>
      <c r="C10" s="17" t="s">
        <v>10</v>
      </c>
      <c r="D10" s="17" t="s">
        <v>274</v>
      </c>
    </row>
    <row r="11" customFormat="false" ht="15" hidden="false" customHeight="false" outlineLevel="0" collapsed="false">
      <c r="A11" s="16" t="s">
        <v>284</v>
      </c>
      <c r="B11" s="16" t="s">
        <v>273</v>
      </c>
      <c r="C11" s="17" t="s">
        <v>11</v>
      </c>
      <c r="D11" s="17" t="s">
        <v>285</v>
      </c>
    </row>
    <row r="12" customFormat="false" ht="15" hidden="false" customHeight="false" outlineLevel="0" collapsed="false">
      <c r="A12" s="16" t="s">
        <v>286</v>
      </c>
      <c r="B12" s="16" t="s">
        <v>273</v>
      </c>
      <c r="C12" s="17" t="s">
        <v>12</v>
      </c>
      <c r="D12" s="17" t="s">
        <v>285</v>
      </c>
    </row>
    <row r="13" customFormat="false" ht="15" hidden="false" customHeight="false" outlineLevel="0" collapsed="false">
      <c r="A13" s="16" t="s">
        <v>287</v>
      </c>
      <c r="B13" s="16" t="s">
        <v>273</v>
      </c>
      <c r="C13" s="17" t="s">
        <v>13</v>
      </c>
      <c r="D13" s="17" t="s">
        <v>274</v>
      </c>
    </row>
    <row r="14" customFormat="false" ht="15" hidden="false" customHeight="false" outlineLevel="0" collapsed="false">
      <c r="A14" s="16" t="s">
        <v>288</v>
      </c>
      <c r="B14" s="16" t="s">
        <v>273</v>
      </c>
      <c r="C14" s="17" t="s">
        <v>14</v>
      </c>
      <c r="D14" s="17" t="s">
        <v>274</v>
      </c>
    </row>
    <row r="15" customFormat="false" ht="15" hidden="false" customHeight="false" outlineLevel="0" collapsed="false">
      <c r="A15" s="16" t="s">
        <v>289</v>
      </c>
      <c r="B15" s="16" t="s">
        <v>273</v>
      </c>
      <c r="C15" s="17" t="s">
        <v>15</v>
      </c>
      <c r="D15" s="17" t="s">
        <v>274</v>
      </c>
    </row>
    <row r="16" customFormat="false" ht="15" hidden="false" customHeight="false" outlineLevel="0" collapsed="false">
      <c r="A16" s="16" t="s">
        <v>290</v>
      </c>
      <c r="B16" s="16" t="s">
        <v>273</v>
      </c>
      <c r="C16" s="17" t="s">
        <v>16</v>
      </c>
      <c r="D16" s="17" t="s">
        <v>274</v>
      </c>
    </row>
    <row r="17" customFormat="false" ht="15" hidden="false" customHeight="false" outlineLevel="0" collapsed="false">
      <c r="A17" s="16" t="s">
        <v>291</v>
      </c>
      <c r="B17" s="16" t="s">
        <v>273</v>
      </c>
      <c r="C17" s="17" t="s">
        <v>17</v>
      </c>
      <c r="D17" s="17" t="s">
        <v>274</v>
      </c>
    </row>
    <row r="18" customFormat="false" ht="15" hidden="false" customHeight="false" outlineLevel="0" collapsed="false">
      <c r="A18" s="16" t="s">
        <v>292</v>
      </c>
      <c r="B18" s="16" t="s">
        <v>273</v>
      </c>
      <c r="C18" s="17" t="s">
        <v>18</v>
      </c>
      <c r="D18" s="17" t="s">
        <v>274</v>
      </c>
    </row>
    <row r="19" customFormat="false" ht="15" hidden="false" customHeight="false" outlineLevel="0" collapsed="false">
      <c r="A19" s="16" t="s">
        <v>293</v>
      </c>
      <c r="B19" s="16" t="s">
        <v>273</v>
      </c>
      <c r="C19" s="17" t="s">
        <v>20</v>
      </c>
      <c r="D19" s="17" t="s">
        <v>274</v>
      </c>
    </row>
    <row r="20" customFormat="false" ht="15" hidden="false" customHeight="false" outlineLevel="0" collapsed="false">
      <c r="A20" s="16" t="s">
        <v>294</v>
      </c>
      <c r="B20" s="16" t="s">
        <v>273</v>
      </c>
      <c r="C20" s="17" t="s">
        <v>22</v>
      </c>
      <c r="D20" s="17" t="s">
        <v>295</v>
      </c>
    </row>
    <row r="21" customFormat="false" ht="15" hidden="false" customHeight="false" outlineLevel="0" collapsed="false">
      <c r="A21" s="16" t="s">
        <v>296</v>
      </c>
      <c r="B21" s="16" t="s">
        <v>273</v>
      </c>
      <c r="C21" s="17" t="s">
        <v>297</v>
      </c>
      <c r="D21" s="17" t="s">
        <v>298</v>
      </c>
    </row>
    <row r="22" customFormat="false" ht="15" hidden="false" customHeight="false" outlineLevel="0" collapsed="false">
      <c r="A22" s="16" t="s">
        <v>299</v>
      </c>
      <c r="B22" s="16" t="s">
        <v>273</v>
      </c>
      <c r="C22" s="17" t="s">
        <v>25</v>
      </c>
      <c r="D22" s="17" t="s">
        <v>300</v>
      </c>
    </row>
    <row r="23" customFormat="false" ht="15" hidden="false" customHeight="false" outlineLevel="0" collapsed="false">
      <c r="A23" s="16" t="s">
        <v>301</v>
      </c>
      <c r="B23" s="16" t="s">
        <v>273</v>
      </c>
      <c r="C23" s="17" t="s">
        <v>34</v>
      </c>
      <c r="D23" s="17" t="s">
        <v>300</v>
      </c>
    </row>
    <row r="24" customFormat="false" ht="15" hidden="false" customHeight="false" outlineLevel="0" collapsed="false">
      <c r="A24" s="16" t="s">
        <v>302</v>
      </c>
      <c r="B24" s="16" t="s">
        <v>273</v>
      </c>
      <c r="C24" s="17" t="s">
        <v>45</v>
      </c>
      <c r="D24" s="17" t="s">
        <v>274</v>
      </c>
    </row>
    <row r="25" customFormat="false" ht="15" hidden="false" customHeight="false" outlineLevel="0" collapsed="false">
      <c r="A25" s="16" t="s">
        <v>303</v>
      </c>
      <c r="B25" s="16" t="s">
        <v>273</v>
      </c>
      <c r="C25" s="17" t="s">
        <v>46</v>
      </c>
      <c r="D25" s="17" t="s">
        <v>300</v>
      </c>
    </row>
    <row r="26" customFormat="false" ht="15" hidden="false" customHeight="false" outlineLevel="0" collapsed="false">
      <c r="A26" s="16" t="s">
        <v>304</v>
      </c>
      <c r="B26" s="16" t="s">
        <v>273</v>
      </c>
      <c r="C26" s="17" t="s">
        <v>305</v>
      </c>
      <c r="D26" s="17" t="s">
        <v>274</v>
      </c>
    </row>
    <row r="27" customFormat="false" ht="15" hidden="false" customHeight="false" outlineLevel="0" collapsed="false">
      <c r="A27" s="16" t="s">
        <v>306</v>
      </c>
      <c r="B27" s="16" t="s">
        <v>273</v>
      </c>
      <c r="C27" s="17" t="s">
        <v>307</v>
      </c>
      <c r="D27" s="17" t="s">
        <v>274</v>
      </c>
    </row>
    <row r="28" customFormat="false" ht="23.85" hidden="false" customHeight="false" outlineLevel="0" collapsed="false">
      <c r="A28" s="18" t="s">
        <v>308</v>
      </c>
      <c r="B28" s="18" t="s">
        <v>309</v>
      </c>
      <c r="C28" s="17" t="s">
        <v>310</v>
      </c>
      <c r="D28" s="17" t="s">
        <v>311</v>
      </c>
    </row>
    <row r="29" customFormat="false" ht="15" hidden="false" customHeight="false" outlineLevel="0" collapsed="false">
      <c r="A29" s="18" t="s">
        <v>312</v>
      </c>
      <c r="B29" s="18" t="s">
        <v>309</v>
      </c>
      <c r="C29" s="17" t="s">
        <v>313</v>
      </c>
      <c r="D29" s="17" t="s">
        <v>314</v>
      </c>
    </row>
    <row r="30" customFormat="false" ht="15" hidden="false" customHeight="false" outlineLevel="0" collapsed="false">
      <c r="A30" s="18" t="s">
        <v>315</v>
      </c>
      <c r="B30" s="18" t="s">
        <v>309</v>
      </c>
      <c r="C30" s="17" t="s">
        <v>316</v>
      </c>
      <c r="D30" s="17" t="s">
        <v>317</v>
      </c>
    </row>
    <row r="31" customFormat="false" ht="23.85" hidden="false" customHeight="false" outlineLevel="0" collapsed="false">
      <c r="A31" s="18" t="s">
        <v>318</v>
      </c>
      <c r="B31" s="18" t="s">
        <v>309</v>
      </c>
      <c r="C31" s="17" t="s">
        <v>319</v>
      </c>
      <c r="D31" s="17" t="s">
        <v>320</v>
      </c>
    </row>
    <row r="32" customFormat="false" ht="15" hidden="false" customHeight="false" outlineLevel="0" collapsed="false">
      <c r="A32" s="18" t="s">
        <v>321</v>
      </c>
      <c r="B32" s="18" t="s">
        <v>309</v>
      </c>
      <c r="C32" s="17" t="s">
        <v>322</v>
      </c>
      <c r="D32" s="17" t="s">
        <v>323</v>
      </c>
    </row>
    <row r="33" customFormat="false" ht="15" hidden="false" customHeight="false" outlineLevel="0" collapsed="false">
      <c r="A33" s="18" t="s">
        <v>324</v>
      </c>
      <c r="B33" s="18" t="s">
        <v>309</v>
      </c>
      <c r="C33" s="17" t="s">
        <v>325</v>
      </c>
      <c r="D33" s="17" t="s">
        <v>326</v>
      </c>
    </row>
    <row r="34" customFormat="false" ht="23.85" hidden="false" customHeight="false" outlineLevel="0" collapsed="false">
      <c r="A34" s="18" t="s">
        <v>327</v>
      </c>
      <c r="B34" s="18" t="s">
        <v>309</v>
      </c>
      <c r="C34" s="17" t="s">
        <v>328</v>
      </c>
      <c r="D34" s="17" t="s">
        <v>329</v>
      </c>
    </row>
    <row r="35" customFormat="false" ht="23.85" hidden="false" customHeight="false" outlineLevel="0" collapsed="false">
      <c r="A35" s="18" t="s">
        <v>330</v>
      </c>
      <c r="B35" s="18" t="s">
        <v>309</v>
      </c>
      <c r="C35" s="17" t="s">
        <v>331</v>
      </c>
      <c r="D35" s="17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2026-08-04T09:23:07Z</dcterms:created>
  <dc:creator>openpyxl</dc:creator>
  <dc:description/>
  <dc:language>en-US</dc:language>
  <cp:lastModifiedBy/>
  <dcterms:modified xsi:type="dcterms:W3CDTF">2026-08-04T09:23:07Z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